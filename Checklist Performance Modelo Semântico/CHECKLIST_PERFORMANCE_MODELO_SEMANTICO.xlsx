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f6544da4116fbd8/01. Social Media 2026/02. Fevereiro/"/>
    </mc:Choice>
  </mc:AlternateContent>
  <xr:revisionPtr revIDLastSave="0" documentId="8_{A0C8F1F4-1E93-4725-BB42-EF1C0C01B3AD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1. Modelagem" sheetId="1" r:id="rId1"/>
    <sheet name="2. Relacionamentos" sheetId="2" r:id="rId2"/>
    <sheet name="3. Colunas" sheetId="3" r:id="rId3"/>
    <sheet name="4. Medidas DAX" sheetId="4" r:id="rId4"/>
    <sheet name="5. Power Query" sheetId="5" r:id="rId5"/>
    <sheet name="6. Armazenamento" sheetId="6" r:id="rId6"/>
    <sheet name="7. Visuais" sheetId="7" r:id="rId7"/>
    <sheet name="8. RLS" sheetId="8" r:id="rId8"/>
    <sheet name="Resumo" sheetId="9" r:id="rId9"/>
  </sheets>
  <definedNames>
    <definedName name="_xlnm._FilterDatabase" localSheetId="0" hidden="1">'1. Modelagem'!$A$3:$G$13</definedName>
    <definedName name="_xlnm._FilterDatabase" localSheetId="1" hidden="1">'2. Relacionamentos'!$A$3:$G$13</definedName>
    <definedName name="_xlnm._FilterDatabase" localSheetId="2" hidden="1">'3. Colunas'!$A$3:$G$13</definedName>
    <definedName name="_xlnm._FilterDatabase" localSheetId="3" hidden="1">'4. Medidas DAX'!$A$3:$G$15</definedName>
    <definedName name="_xlnm._FilterDatabase" localSheetId="4" hidden="1">'5. Power Query'!$A$3:$G$13</definedName>
    <definedName name="_xlnm._FilterDatabase" localSheetId="5" hidden="1">'6. Armazenamento'!$A$3:$G$13</definedName>
    <definedName name="_xlnm._FilterDatabase" localSheetId="6" hidden="1">'7. Visuais'!$A$3:$G$13</definedName>
    <definedName name="_xlnm._FilterDatabase" localSheetId="7" hidden="1">'8. RLS'!$A$3:$G$11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9" l="1"/>
  <c r="C11" i="9"/>
  <c r="D11" i="9" s="1"/>
  <c r="C10" i="9"/>
  <c r="D10" i="9" s="1"/>
  <c r="D9" i="9"/>
  <c r="C9" i="9"/>
  <c r="C8" i="9"/>
  <c r="D8" i="9" s="1"/>
  <c r="C7" i="9"/>
  <c r="D7" i="9" s="1"/>
  <c r="C6" i="9"/>
  <c r="D6" i="9" s="1"/>
  <c r="C5" i="9"/>
  <c r="D5" i="9" s="1"/>
  <c r="D4" i="9"/>
  <c r="C4" i="9"/>
  <c r="D12" i="9" s="1"/>
  <c r="C12" i="9" l="1"/>
</calcChain>
</file>

<file path=xl/sharedStrings.xml><?xml version="1.0" encoding="utf-8"?>
<sst xmlns="http://schemas.openxmlformats.org/spreadsheetml/2006/main" count="326" uniqueCount="173">
  <si>
    <t>⭐ Modelagem Dimensional</t>
  </si>
  <si>
    <t>Legenda:  ● Alta  |  ● Média  |  ● Baixa      Status: ✅ OK  |  ⚠️ Parcial  |  ❌ Pendente  |  ➖ N/A</t>
  </si>
  <si>
    <t>#</t>
  </si>
  <si>
    <t>Status</t>
  </si>
  <si>
    <t>Prioridade</t>
  </si>
  <si>
    <t>Verificação</t>
  </si>
  <si>
    <t>Observações</t>
  </si>
  <si>
    <t>Responsável</t>
  </si>
  <si>
    <t>Referência</t>
  </si>
  <si>
    <t>● Alta</t>
  </si>
  <si>
    <t>O modelo segue o padrão Star Schema (fato + dimensões)?</t>
  </si>
  <si>
    <t>Star Schema</t>
  </si>
  <si>
    <t>Tabelas fato contêm apenas chaves (FK) e métricas numéricas?</t>
  </si>
  <si>
    <t>Star Schema - Fatos</t>
  </si>
  <si>
    <t>Tabelas dimensão contêm apenas atributos descritivos + chave primária?</t>
  </si>
  <si>
    <t>Star Schema - Dimensões</t>
  </si>
  <si>
    <t>Não existem relacionamentos M:N desnecessários?</t>
  </si>
  <si>
    <t>Relações M:N</t>
  </si>
  <si>
    <t>● Média</t>
  </si>
  <si>
    <t>Tabelas bridge são usadas corretamente para cenários M:N legítimos?</t>
  </si>
  <si>
    <t>Existe uma tabela dCalendario marcada como Date Table?</t>
  </si>
  <si>
    <t>Date Table</t>
  </si>
  <si>
    <t>A dCalendario cobre todo o intervalo de datas das tabelas fato?</t>
  </si>
  <si>
    <t>Não existem tabelas 'ilhas' (sem relacionamento)?</t>
  </si>
  <si>
    <t>Reduzir modelo</t>
  </si>
  <si>
    <t>Tabelas desnecessárias foram removidas do modelo?</t>
  </si>
  <si>
    <t>● Baixa</t>
  </si>
  <si>
    <t>Tabelas ocultas não usadas por medidas foram eliminadas?</t>
  </si>
  <si>
    <t>🔗 Relacionamentos</t>
  </si>
  <si>
    <t>Todos os relacionamentos são 1:N sempre que possível?</t>
  </si>
  <si>
    <t>Relações 1:N</t>
  </si>
  <si>
    <t>O lado '1' tem valores únicos na coluna de chave?</t>
  </si>
  <si>
    <t>Filtros fluem de dimensão → fato (direção correta)?</t>
  </si>
  <si>
    <t>Direção filtro</t>
  </si>
  <si>
    <t>Relacionamentos bidirecionais apenas quando estritamente necessário?</t>
  </si>
  <si>
    <t>Bidirecional</t>
  </si>
  <si>
    <t>Não existem relacionamentos inativos que poderiam ser removidos?</t>
  </si>
  <si>
    <t>Ativa vs Inativa</t>
  </si>
  <si>
    <t>USERELATIONSHIP() é usado no lugar de bidirecionais quando possível?</t>
  </si>
  <si>
    <t>USERELATIONSHIP</t>
  </si>
  <si>
    <t>Colunas de relacionamento têm o mesmo tipo de dados em ambos os lados?</t>
  </si>
  <si>
    <t>Tipos de dados</t>
  </si>
  <si>
    <t>Chaves inteiras (INT) são preferidas sobre chaves texto?</t>
  </si>
  <si>
    <t>Redução modelo</t>
  </si>
  <si>
    <t>Não existem cadeias de relacionamento longas (A→B→C→D)?</t>
  </si>
  <si>
    <t>Cadeia relações</t>
  </si>
  <si>
    <t>Relacionamentos com TREATAS são documentados?</t>
  </si>
  <si>
    <t>TREATAS</t>
  </si>
  <si>
    <t>📐 Colunas e Tipos de Dados</t>
  </si>
  <si>
    <t>Colunas não utilizadas em visuais, medidas ou relacionamentos foram removidas?</t>
  </si>
  <si>
    <t>Reduzir colunas</t>
  </si>
  <si>
    <t>Colunas de alta cardinalidade desnecessárias (GUIDs, timestamps) foram removidas?</t>
  </si>
  <si>
    <t>Tipos de dados estão corretos (datas como Date, números como Int/Decimal)?</t>
  </si>
  <si>
    <t>Colunas de texto não armazenam números ou datas?</t>
  </si>
  <si>
    <t>Colunas booleanas usam TRUE/FALSE ou 0/1?</t>
  </si>
  <si>
    <t>Colunas calculadas foram substituídas por Power Query quando possível?</t>
  </si>
  <si>
    <t>Calc vs PQ</t>
  </si>
  <si>
    <t>Colunas com poucos valores distintos usam tipos menores?</t>
  </si>
  <si>
    <t>Sort By está configurado corretamente?</t>
  </si>
  <si>
    <t>Sort By Column</t>
  </si>
  <si>
    <t>Colunas técnicas/auxiliares estão marcadas como IsHidden?</t>
  </si>
  <si>
    <t>IsHidden</t>
  </si>
  <si>
    <t>Não existem colunas duplicadas entre tabelas?</t>
  </si>
  <si>
    <t>📏 Medidas DAX</t>
  </si>
  <si>
    <t>Medidas usam VAR/RETURN para evitar cálculos repetidos?</t>
  </si>
  <si>
    <t>VAR/RETURN</t>
  </si>
  <si>
    <t>CALCULATE() sem aninhamentos desnecessários?</t>
  </si>
  <si>
    <t>CALCULATE</t>
  </si>
  <si>
    <t>FILTER() sobre tabelas grandes substituído por condições diretas no CALCULATE?</t>
  </si>
  <si>
    <t>CALCULATE filtros</t>
  </si>
  <si>
    <t>Medidas complexas decompostas em auxiliares reutilizáveis?</t>
  </si>
  <si>
    <t>Decomposição</t>
  </si>
  <si>
    <t>DISTINCTCOUNT preferido sobre COUNTROWS(DISTINCT())?</t>
  </si>
  <si>
    <t>DISTINCTCOUNT</t>
  </si>
  <si>
    <t>DIVIDE() usado no lugar de '/' para evitar divisão por zero?</t>
  </si>
  <si>
    <t>DIVIDE</t>
  </si>
  <si>
    <t>SUMX/AVERAGEX evitados quando SUM/AVERAGE bastam?</t>
  </si>
  <si>
    <t>Iteradores</t>
  </si>
  <si>
    <t>Time Intelligence usa dCalendario (não colunas da fato)?</t>
  </si>
  <si>
    <t>Time Intelligence</t>
  </si>
  <si>
    <t>IF() otimizado para evitar avaliação de ambos os lados?</t>
  </si>
  <si>
    <t>IF otimização</t>
  </si>
  <si>
    <t>ALL/ALLEXCEPT/REMOVEFILTERS usados corretamente?</t>
  </si>
  <si>
    <t>Contexto filtro</t>
  </si>
  <si>
    <t>Medidas órfãs (não usadas) foram removidas?</t>
  </si>
  <si>
    <t>Medidas órfãs</t>
  </si>
  <si>
    <t>Medidas auxiliares marcadas como IsHidden?</t>
  </si>
  <si>
    <t>⚡ Power Query / ETL</t>
  </si>
  <si>
    <t>Query Folding ativo para etapas críticas?</t>
  </si>
  <si>
    <t>Query Folding</t>
  </si>
  <si>
    <t>Filtros de data/período aplicados cedo na query?</t>
  </si>
  <si>
    <t>Colunas desnecessárias removidas na origem?</t>
  </si>
  <si>
    <t>Transformações pesadas feitas na fonte quando possível?</t>
  </si>
  <si>
    <t>Best Practices PQ</t>
  </si>
  <si>
    <t>Queries staging desabilitadas para carga (Enable Load = false)?</t>
  </si>
  <si>
    <t>Enable Load</t>
  </si>
  <si>
    <t>Tipos de dados definidos explicitamente?</t>
  </si>
  <si>
    <t>Funções M reutilizáveis para lógica repetida?</t>
  </si>
  <si>
    <t>Funções M</t>
  </si>
  <si>
    <t>Parâmetros (prm) usados para conexões?</t>
  </si>
  <si>
    <t>Parâmetros</t>
  </si>
  <si>
    <t>Queries com erro investigadas e corrigidas?</t>
  </si>
  <si>
    <t>Diagnóstico PQ</t>
  </si>
  <si>
    <t>Buffer usado apenas quando necessário e justificado?</t>
  </si>
  <si>
    <t>Buffer</t>
  </si>
  <si>
    <t>💾 Armazenamento e Refresh</t>
  </si>
  <si>
    <t>Modo de armazenamento adequado para cada tabela?</t>
  </si>
  <si>
    <t>Storage Mode</t>
  </si>
  <si>
    <t>Tabelas grandes em Import (não DirectQuery) quando possível?</t>
  </si>
  <si>
    <t>Import vs DQ</t>
  </si>
  <si>
    <t>Incremental Refresh para tabelas com histórico longo?</t>
  </si>
  <si>
    <t>Incremental Refresh</t>
  </si>
  <si>
    <t>Refresh agenda otimizado (fora do pico)?</t>
  </si>
  <si>
    <t>Refresh agenda</t>
  </si>
  <si>
    <t>Tabelas estáticas excluídas do refresh automático?</t>
  </si>
  <si>
    <t>Tamanho do dataset monitorado?</t>
  </si>
  <si>
    <t>Tamanho dataset</t>
  </si>
  <si>
    <t>Partições configuradas para tabelas muito grandes?</t>
  </si>
  <si>
    <t>Partições</t>
  </si>
  <si>
    <t>Compressão VertiPaq otimizada?</t>
  </si>
  <si>
    <t>VertiPaq</t>
  </si>
  <si>
    <t>Aggregations para tabelas de detalhe muito grandes?</t>
  </si>
  <si>
    <t>Aggregations</t>
  </si>
  <si>
    <t>Modelo não excede limite do workspace (1GB Pro)?</t>
  </si>
  <si>
    <t>Limite Pro</t>
  </si>
  <si>
    <t>📊 Visuais e Relatórios</t>
  </si>
  <si>
    <t>Máximo 8-10 visuais por página?</t>
  </si>
  <si>
    <t>Performance visuais</t>
  </si>
  <si>
    <t>Tabelas/matrizes não exibem mais de 500 linhas sem paginação?</t>
  </si>
  <si>
    <t>Tabela/Matriz</t>
  </si>
  <si>
    <t>Slicers usam dimensões de baixa cardinalidade?</t>
  </si>
  <si>
    <t>Slicers</t>
  </si>
  <si>
    <t>Interações entre visuais configuradas?</t>
  </si>
  <si>
    <t>Interações</t>
  </si>
  <si>
    <t>Medidas implícitas desabilitadas (DiscourageImplicitMeasures)?</t>
  </si>
  <si>
    <t>Implicit Measures</t>
  </si>
  <si>
    <t>Bookmarks não duplicam estado desnecessariamente?</t>
  </si>
  <si>
    <t>Bookmarks</t>
  </si>
  <si>
    <t>Tooltips customizadas simples?</t>
  </si>
  <si>
    <t>Tooltips</t>
  </si>
  <si>
    <t>Drillthrough preferido sobre tooltips complexas?</t>
  </si>
  <si>
    <t>Drillthrough</t>
  </si>
  <si>
    <t>Imagens/logos otimizados e comprimidos?</t>
  </si>
  <si>
    <t>Imagens</t>
  </si>
  <si>
    <t>Testado com Performance Analyzer?</t>
  </si>
  <si>
    <t>Perf Analyzer</t>
  </si>
  <si>
    <t>🔒 RLS e Segurança</t>
  </si>
  <si>
    <t>Filtros RLS aplicados em dimensões (não na fato)?</t>
  </si>
  <si>
    <t>RLS guidance</t>
  </si>
  <si>
    <t>Expressões RLS simples (sem CALCULATE complexo)?</t>
  </si>
  <si>
    <t>USERNAME()/USERPRINCIPALNAME() usados corretamente?</t>
  </si>
  <si>
    <t>USERNAME</t>
  </si>
  <si>
    <t>Tabela de segurança com índice na coluna de usuário?</t>
  </si>
  <si>
    <t>RLS testado com 'View as Role'?</t>
  </si>
  <si>
    <t>Testar RLS</t>
  </si>
  <si>
    <t>Papéis RLS sem membros foram removidos?</t>
  </si>
  <si>
    <t>OLS usado apenas quando necessário?</t>
  </si>
  <si>
    <t>OLS</t>
  </si>
  <si>
    <t>Dados sensíveis não expostos em tooltips/drill-through?</t>
  </si>
  <si>
    <t>📊 Resumo do Checklist de Performance</t>
  </si>
  <si>
    <t>Área</t>
  </si>
  <si>
    <t>Total Itens</t>
  </si>
  <si>
    <t>✅ OK</t>
  </si>
  <si>
    <t>% Concluído</t>
  </si>
  <si>
    <t>1. Modelagem Dimensional</t>
  </si>
  <si>
    <t>2. Relacionamentos</t>
  </si>
  <si>
    <t>3. Colunas e Tipos</t>
  </si>
  <si>
    <t>4. Medidas DAX</t>
  </si>
  <si>
    <t>5. Power Query</t>
  </si>
  <si>
    <t>6. Armazenamento</t>
  </si>
  <si>
    <t>7. Visuais</t>
  </si>
  <si>
    <t>8. RLS e Segurança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</si>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</sst>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1B2A4A"/>
      <name val="Arial"/>
      <charset val="1"/>
    </font>
    <font>
      <sz val="8"/>
      <color rgb="FF7F8C8D"/>
      <name val="Arial"/>
      <charset val="1"/>
    </font>
    <font>
      <b/>
      <sz val="9"/>
      <color rgb="FFFFFFFF"/>
      <name val="Arial"/>
      <charset val="1"/>
    </font>
    <font>
      <sz val="9"/>
      <color rgb="FFAEB6BF"/>
      <name val="Arial"/>
      <charset val="1"/>
    </font>
    <font>
      <b/>
      <sz val="11"/>
      <color rgb="FFD96459"/>
      <name val="Calibri"/>
      <charset val="1"/>
    </font>
    <font>
      <sz val="9"/>
      <color rgb="FF2C3E50"/>
      <name val="Arial"/>
      <charset val="1"/>
    </font>
    <font>
      <u/>
      <sz val="10"/>
      <color rgb="FF0563C1"/>
      <name val="Calibri"/>
      <charset val="1"/>
    </font>
    <font>
      <b/>
      <sz val="11"/>
      <color rgb="FFF4B942"/>
      <name val="Calibri"/>
      <charset val="1"/>
    </font>
    <font>
      <b/>
      <sz val="11"/>
      <color rgb="FF2D6A4F"/>
      <name val="Calibri"/>
      <charset val="1"/>
    </font>
    <font>
      <b/>
      <sz val="14"/>
      <color rgb="FF1B2A4A"/>
      <name val="Arial"/>
      <charset val="1"/>
    </font>
    <font>
      <b/>
      <sz val="9"/>
      <color rgb="FF2C3E50"/>
      <name val="Arial"/>
      <charset val="1"/>
    </font>
    <font>
      <b/>
      <sz val="10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7AE60"/>
        <bgColor rgb="FF1ABC9C"/>
      </patternFill>
    </fill>
    <fill>
      <patternFill patternType="solid">
        <fgColor rgb="FFF7F9FA"/>
        <bgColor rgb="FFFFFFFF"/>
      </patternFill>
    </fill>
    <fill>
      <patternFill patternType="solid">
        <fgColor rgb="FFFFFFFF"/>
        <bgColor rgb="FFF7F9FA"/>
      </patternFill>
    </fill>
    <fill>
      <patternFill patternType="solid">
        <fgColor rgb="FF2E86C1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7D3C98"/>
        <bgColor rgb="FF993366"/>
      </patternFill>
    </fill>
    <fill>
      <patternFill patternType="solid">
        <fgColor rgb="FF1ABC9C"/>
        <bgColor rgb="FF27AE60"/>
      </patternFill>
    </fill>
    <fill>
      <patternFill patternType="solid">
        <fgColor rgb="FFC0392B"/>
        <bgColor rgb="FF993366"/>
      </patternFill>
    </fill>
    <fill>
      <patternFill patternType="solid">
        <fgColor rgb="FF1B2A4A"/>
        <bgColor rgb="FF2C3E50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0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/>
    <xf numFmtId="0" fontId="6" fillId="3" borderId="1" xfId="0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/>
    <xf numFmtId="0" fontId="6" fillId="4" borderId="1" xfId="0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/>
    <xf numFmtId="0" fontId="12" fillId="10" borderId="1" xfId="0" applyFont="1" applyFill="1" applyBorder="1" applyAlignment="1">
      <alignment horizontal="center" vertical="center"/>
    </xf>
    <xf numFmtId="9" fontId="12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AEB6BF"/>
      <rgbColor rgb="FF7F8C8D"/>
      <rgbColor rgb="FF9999FF"/>
      <rgbColor rgb="FF7D3C98"/>
      <rgbColor rgb="FFF7F9FA"/>
      <rgbColor rgb="FFDEE2E6"/>
      <rgbColor rgb="FF660066"/>
      <rgbColor rgb="FFD96459"/>
      <rgbColor rgb="FF0563C1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1ABC9C"/>
      <rgbColor rgb="FF99CC00"/>
      <rgbColor rgb="FFF4B942"/>
      <rgbColor rgb="FFFF9900"/>
      <rgbColor rgb="FFE67E22"/>
      <rgbColor rgb="FF666699"/>
      <rgbColor rgb="FF969696"/>
      <rgbColor rgb="FF1B2A4A"/>
      <rgbColor rgb="FF27AE60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power-bi/guidance/import-modeling-data-reduction" TargetMode="External"/><Relationship Id="rId3" Type="http://schemas.openxmlformats.org/officeDocument/2006/relationships/hyperlink" Target="https://learn.microsoft.com/power-bi/guidance/star-schema" TargetMode="External"/><Relationship Id="rId7" Type="http://schemas.openxmlformats.org/officeDocument/2006/relationships/hyperlink" Target="https://learn.microsoft.com/power-bi/guidance/model-date-tables" TargetMode="External"/><Relationship Id="rId2" Type="http://schemas.openxmlformats.org/officeDocument/2006/relationships/hyperlink" Target="https://learn.microsoft.com/power-bi/guidance/star-schema" TargetMode="External"/><Relationship Id="rId1" Type="http://schemas.openxmlformats.org/officeDocument/2006/relationships/hyperlink" Target="https://learn.microsoft.com/power-bi/guidance/star-schema" TargetMode="External"/><Relationship Id="rId6" Type="http://schemas.openxmlformats.org/officeDocument/2006/relationships/hyperlink" Target="https://learn.microsoft.com/power-bi/guidance/model-date-tables" TargetMode="External"/><Relationship Id="rId5" Type="http://schemas.openxmlformats.org/officeDocument/2006/relationships/hyperlink" Target="https://learn.microsoft.com/power-bi/guidance/relationships-many-to-many" TargetMode="External"/><Relationship Id="rId10" Type="http://schemas.openxmlformats.org/officeDocument/2006/relationships/hyperlink" Target="https://learn.microsoft.com/power-bi/guidance/import-modeling-data-reduction" TargetMode="External"/><Relationship Id="rId4" Type="http://schemas.openxmlformats.org/officeDocument/2006/relationships/hyperlink" Target="https://learn.microsoft.com/power-bi/guidance/relationships-many-to-many" TargetMode="External"/><Relationship Id="rId9" Type="http://schemas.openxmlformats.org/officeDocument/2006/relationships/hyperlink" Target="https://learn.microsoft.com/power-bi/guidance/import-modeling-data-reducti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power-bi/guidance/import-modeling-data-reduction" TargetMode="External"/><Relationship Id="rId3" Type="http://schemas.openxmlformats.org/officeDocument/2006/relationships/hyperlink" Target="https://learn.microsoft.com/power-bi/guidance/relationships-active-inactive" TargetMode="External"/><Relationship Id="rId7" Type="http://schemas.openxmlformats.org/officeDocument/2006/relationships/hyperlink" Target="https://learn.microsoft.com/power-bi/connect-data/desktop-data-types" TargetMode="External"/><Relationship Id="rId2" Type="http://schemas.openxmlformats.org/officeDocument/2006/relationships/hyperlink" Target="https://learn.microsoft.com/power-bi/guidance/relationships-one-to-one" TargetMode="External"/><Relationship Id="rId1" Type="http://schemas.openxmlformats.org/officeDocument/2006/relationships/hyperlink" Target="https://learn.microsoft.com/power-bi/guidance/relationships-one-to-one" TargetMode="External"/><Relationship Id="rId6" Type="http://schemas.openxmlformats.org/officeDocument/2006/relationships/hyperlink" Target="https://learn.microsoft.com/dax/userelationship-function-dax" TargetMode="External"/><Relationship Id="rId5" Type="http://schemas.openxmlformats.org/officeDocument/2006/relationships/hyperlink" Target="https://learn.microsoft.com/power-bi/guidance/relationships-active-inactive" TargetMode="External"/><Relationship Id="rId10" Type="http://schemas.openxmlformats.org/officeDocument/2006/relationships/hyperlink" Target="https://learn.microsoft.com/dax/treatas-function" TargetMode="External"/><Relationship Id="rId4" Type="http://schemas.openxmlformats.org/officeDocument/2006/relationships/hyperlink" Target="https://learn.microsoft.com/power-bi/guidance/relationships-bidirectional-filtering" TargetMode="External"/><Relationship Id="rId9" Type="http://schemas.openxmlformats.org/officeDocument/2006/relationships/hyperlink" Target="https://learn.microsoft.com/power-bi/guidance/relationships-active-inactiv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power-bi/create-reports/desktop-sort-by-column" TargetMode="External"/><Relationship Id="rId3" Type="http://schemas.openxmlformats.org/officeDocument/2006/relationships/hyperlink" Target="https://learn.microsoft.com/power-bi/connect-data/desktop-data-types" TargetMode="External"/><Relationship Id="rId7" Type="http://schemas.openxmlformats.org/officeDocument/2006/relationships/hyperlink" Target="https://learn.microsoft.com/power-bi/guidance/import-modeling-data-reduction" TargetMode="External"/><Relationship Id="rId2" Type="http://schemas.openxmlformats.org/officeDocument/2006/relationships/hyperlink" Target="https://learn.microsoft.com/power-bi/guidance/import-modeling-data-reduction" TargetMode="External"/><Relationship Id="rId1" Type="http://schemas.openxmlformats.org/officeDocument/2006/relationships/hyperlink" Target="https://learn.microsoft.com/power-bi/guidance/import-modeling-data-reduction" TargetMode="External"/><Relationship Id="rId6" Type="http://schemas.openxmlformats.org/officeDocument/2006/relationships/hyperlink" Target="https://learn.microsoft.com/power-bi/guidance/import-modeling-data-reduction" TargetMode="External"/><Relationship Id="rId5" Type="http://schemas.openxmlformats.org/officeDocument/2006/relationships/hyperlink" Target="https://learn.microsoft.com/power-bi/connect-data/desktop-data-types" TargetMode="External"/><Relationship Id="rId10" Type="http://schemas.openxmlformats.org/officeDocument/2006/relationships/hyperlink" Target="https://learn.microsoft.com/power-bi/guidance/import-modeling-data-reduction" TargetMode="External"/><Relationship Id="rId4" Type="http://schemas.openxmlformats.org/officeDocument/2006/relationships/hyperlink" Target="https://learn.microsoft.com/power-bi/connect-data/desktop-data-types" TargetMode="External"/><Relationship Id="rId9" Type="http://schemas.openxmlformats.org/officeDocument/2006/relationships/hyperlink" Target="https://learn.microsoft.com/power-bi/guidance/import-modeling-data-reductio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power-bi/guidance/model-date-tables" TargetMode="External"/><Relationship Id="rId3" Type="http://schemas.openxmlformats.org/officeDocument/2006/relationships/hyperlink" Target="https://learn.microsoft.com/dax/best-practices/dax-avoid-converting-blank" TargetMode="External"/><Relationship Id="rId7" Type="http://schemas.openxmlformats.org/officeDocument/2006/relationships/hyperlink" Target="https://learn.microsoft.com/dax/best-practices/dax-countrows" TargetMode="External"/><Relationship Id="rId12" Type="http://schemas.openxmlformats.org/officeDocument/2006/relationships/hyperlink" Target="https://learn.microsoft.com/power-bi/guidance/import-modeling-data-reduction" TargetMode="External"/><Relationship Id="rId2" Type="http://schemas.openxmlformats.org/officeDocument/2006/relationships/hyperlink" Target="https://learn.microsoft.com/dax/calculate-function-dax" TargetMode="External"/><Relationship Id="rId1" Type="http://schemas.openxmlformats.org/officeDocument/2006/relationships/hyperlink" Target="https://learn.microsoft.com/dax/best-practices/dax-variables" TargetMode="External"/><Relationship Id="rId6" Type="http://schemas.openxmlformats.org/officeDocument/2006/relationships/hyperlink" Target="https://learn.microsoft.com/dax/best-practices/dax-divide-function-operator" TargetMode="External"/><Relationship Id="rId11" Type="http://schemas.openxmlformats.org/officeDocument/2006/relationships/hyperlink" Target="https://learn.microsoft.com/power-bi/guidance/import-modeling-data-reduction" TargetMode="External"/><Relationship Id="rId5" Type="http://schemas.openxmlformats.org/officeDocument/2006/relationships/hyperlink" Target="https://learn.microsoft.com/dax/distinctcount-function-dax" TargetMode="External"/><Relationship Id="rId10" Type="http://schemas.openxmlformats.org/officeDocument/2006/relationships/hyperlink" Target="https://learn.microsoft.com/dax/all-function-dax" TargetMode="External"/><Relationship Id="rId4" Type="http://schemas.openxmlformats.org/officeDocument/2006/relationships/hyperlink" Target="https://learn.microsoft.com/dax/best-practices/dax-variables" TargetMode="External"/><Relationship Id="rId9" Type="http://schemas.openxmlformats.org/officeDocument/2006/relationships/hyperlink" Target="https://learn.microsoft.com/dax/best-practices/dax-avoid-avoid-filter-as-filter-argumen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power-query/power-query-query-parameters" TargetMode="External"/><Relationship Id="rId3" Type="http://schemas.openxmlformats.org/officeDocument/2006/relationships/hyperlink" Target="https://learn.microsoft.com/power-query/best-practices" TargetMode="External"/><Relationship Id="rId7" Type="http://schemas.openxmlformats.org/officeDocument/2006/relationships/hyperlink" Target="https://learn.microsoft.com/power-query/custom-function" TargetMode="External"/><Relationship Id="rId2" Type="http://schemas.openxmlformats.org/officeDocument/2006/relationships/hyperlink" Target="https://learn.microsoft.com/power-query/query-folding-basics" TargetMode="External"/><Relationship Id="rId1" Type="http://schemas.openxmlformats.org/officeDocument/2006/relationships/hyperlink" Target="https://learn.microsoft.com/power-query/query-folding-basics" TargetMode="External"/><Relationship Id="rId6" Type="http://schemas.openxmlformats.org/officeDocument/2006/relationships/hyperlink" Target="https://learn.microsoft.com/power-query/best-practices" TargetMode="External"/><Relationship Id="rId5" Type="http://schemas.openxmlformats.org/officeDocument/2006/relationships/hyperlink" Target="https://learn.microsoft.com/power-query/best-practices" TargetMode="External"/><Relationship Id="rId10" Type="http://schemas.openxmlformats.org/officeDocument/2006/relationships/hyperlink" Target="https://learn.microsoft.com/power-query/optimize-expanding-table-columns" TargetMode="External"/><Relationship Id="rId4" Type="http://schemas.openxmlformats.org/officeDocument/2006/relationships/hyperlink" Target="https://learn.microsoft.com/power-query/best-practices" TargetMode="External"/><Relationship Id="rId9" Type="http://schemas.openxmlformats.org/officeDocument/2006/relationships/hyperlink" Target="https://learn.microsoft.com/power-query/query-diagnostic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analysis-services/data-model/tabular-model-programming-for-compatibility-level-1200" TargetMode="External"/><Relationship Id="rId3" Type="http://schemas.openxmlformats.org/officeDocument/2006/relationships/hyperlink" Target="https://learn.microsoft.com/power-bi/connect-data/incremental-refresh-overview" TargetMode="External"/><Relationship Id="rId7" Type="http://schemas.openxmlformats.org/officeDocument/2006/relationships/hyperlink" Target="https://learn.microsoft.com/power-bi/connect-data/incremental-refresh-overview" TargetMode="External"/><Relationship Id="rId2" Type="http://schemas.openxmlformats.org/officeDocument/2006/relationships/hyperlink" Target="https://learn.microsoft.com/power-bi/connect-data/desktop-directquery-about" TargetMode="External"/><Relationship Id="rId1" Type="http://schemas.openxmlformats.org/officeDocument/2006/relationships/hyperlink" Target="https://learn.microsoft.com/power-bi/transform-model/desktop-storage-mode" TargetMode="External"/><Relationship Id="rId6" Type="http://schemas.openxmlformats.org/officeDocument/2006/relationships/hyperlink" Target="https://learn.microsoft.com/power-bi/admin/service-premium-what-is" TargetMode="External"/><Relationship Id="rId5" Type="http://schemas.openxmlformats.org/officeDocument/2006/relationships/hyperlink" Target="https://learn.microsoft.com/power-bi/connect-data/refresh-data" TargetMode="External"/><Relationship Id="rId10" Type="http://schemas.openxmlformats.org/officeDocument/2006/relationships/hyperlink" Target="https://learn.microsoft.com/power-bi/admin/service-premium-what-is" TargetMode="External"/><Relationship Id="rId4" Type="http://schemas.openxmlformats.org/officeDocument/2006/relationships/hyperlink" Target="https://learn.microsoft.com/power-bi/connect-data/refresh-data" TargetMode="External"/><Relationship Id="rId9" Type="http://schemas.openxmlformats.org/officeDocument/2006/relationships/hyperlink" Target="https://learn.microsoft.com/power-bi/transform-model/desktop-aggregation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power-bi/create-reports/desktop-drillthrough" TargetMode="External"/><Relationship Id="rId3" Type="http://schemas.openxmlformats.org/officeDocument/2006/relationships/hyperlink" Target="https://learn.microsoft.com/power-bi/visuals/power-bi-visualization-slicers" TargetMode="External"/><Relationship Id="rId7" Type="http://schemas.openxmlformats.org/officeDocument/2006/relationships/hyperlink" Target="https://learn.microsoft.com/power-bi/guidance/report-page-tooltips" TargetMode="External"/><Relationship Id="rId2" Type="http://schemas.openxmlformats.org/officeDocument/2006/relationships/hyperlink" Target="https://learn.microsoft.com/power-bi/create-reports/desktop-matrix-visual" TargetMode="External"/><Relationship Id="rId1" Type="http://schemas.openxmlformats.org/officeDocument/2006/relationships/hyperlink" Target="https://learn.microsoft.com/power-bi/guidance/report-page-tooltips" TargetMode="External"/><Relationship Id="rId6" Type="http://schemas.openxmlformats.org/officeDocument/2006/relationships/hyperlink" Target="https://learn.microsoft.com/power-bi/create-reports/desktop-bookmarks" TargetMode="External"/><Relationship Id="rId5" Type="http://schemas.openxmlformats.org/officeDocument/2006/relationships/hyperlink" Target="https://learn.microsoft.com/power-bi/guidance/import-modeling-data-reduction" TargetMode="External"/><Relationship Id="rId10" Type="http://schemas.openxmlformats.org/officeDocument/2006/relationships/hyperlink" Target="https://learn.microsoft.com/power-bi/create-reports/desktop-performance-analyzer" TargetMode="External"/><Relationship Id="rId4" Type="http://schemas.openxmlformats.org/officeDocument/2006/relationships/hyperlink" Target="https://learn.microsoft.com/power-bi/create-reports/service-reports-visual-interactions" TargetMode="External"/><Relationship Id="rId9" Type="http://schemas.openxmlformats.org/officeDocument/2006/relationships/hyperlink" Target="https://learn.microsoft.com/power-bi/guidance/report-tips-shapes-images-icon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power-bi/guidance/rls-guidance" TargetMode="External"/><Relationship Id="rId3" Type="http://schemas.openxmlformats.org/officeDocument/2006/relationships/hyperlink" Target="https://learn.microsoft.com/dax/username-function-dax" TargetMode="External"/><Relationship Id="rId7" Type="http://schemas.openxmlformats.org/officeDocument/2006/relationships/hyperlink" Target="https://learn.microsoft.com/power-bi/enterprise/service-admin-ols" TargetMode="External"/><Relationship Id="rId2" Type="http://schemas.openxmlformats.org/officeDocument/2006/relationships/hyperlink" Target="https://learn.microsoft.com/power-bi/guidance/rls-guidance" TargetMode="External"/><Relationship Id="rId1" Type="http://schemas.openxmlformats.org/officeDocument/2006/relationships/hyperlink" Target="https://learn.microsoft.com/power-bi/guidance/rls-guidance" TargetMode="External"/><Relationship Id="rId6" Type="http://schemas.openxmlformats.org/officeDocument/2006/relationships/hyperlink" Target="https://learn.microsoft.com/power-bi/guidance/rls-guidance" TargetMode="External"/><Relationship Id="rId5" Type="http://schemas.openxmlformats.org/officeDocument/2006/relationships/hyperlink" Target="https://learn.microsoft.com/power-bi/enterprise/service-admin-rls" TargetMode="External"/><Relationship Id="rId4" Type="http://schemas.openxmlformats.org/officeDocument/2006/relationships/hyperlink" Target="https://learn.microsoft.com/power-bi/guidance/rls-guid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G13"/>
  <sheetViews>
    <sheetView showGridLines="0" tabSelected="1" zoomScaleNormal="100" workbookViewId="0">
      <pane ySplit="3" topLeftCell="A4" activePane="bottomLeft" state="frozen"/>
      <selection pane="bottomLeft" sqref="A1:F1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0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10</v>
      </c>
      <c r="E4" s="10"/>
      <c r="F4" s="10"/>
      <c r="G4" s="11" t="s">
        <v>11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12</v>
      </c>
      <c r="E5" s="15"/>
      <c r="F5" s="15"/>
      <c r="G5" s="16" t="s">
        <v>13</v>
      </c>
    </row>
    <row r="6" spans="1:7" ht="27.75" customHeight="1" x14ac:dyDescent="0.25">
      <c r="A6" s="7">
        <v>3</v>
      </c>
      <c r="B6" s="8"/>
      <c r="C6" s="9" t="s">
        <v>9</v>
      </c>
      <c r="D6" s="10" t="s">
        <v>14</v>
      </c>
      <c r="E6" s="10"/>
      <c r="F6" s="10"/>
      <c r="G6" s="11" t="s">
        <v>15</v>
      </c>
    </row>
    <row r="7" spans="1:7" ht="27.75" customHeight="1" x14ac:dyDescent="0.25">
      <c r="A7" s="12">
        <v>4</v>
      </c>
      <c r="B7" s="13"/>
      <c r="C7" s="14" t="s">
        <v>9</v>
      </c>
      <c r="D7" s="15" t="s">
        <v>16</v>
      </c>
      <c r="E7" s="15"/>
      <c r="F7" s="15"/>
      <c r="G7" s="16" t="s">
        <v>17</v>
      </c>
    </row>
    <row r="8" spans="1:7" ht="27.75" customHeight="1" x14ac:dyDescent="0.25">
      <c r="A8" s="7">
        <v>5</v>
      </c>
      <c r="B8" s="8"/>
      <c r="C8" s="17" t="s">
        <v>18</v>
      </c>
      <c r="D8" s="10" t="s">
        <v>19</v>
      </c>
      <c r="E8" s="10"/>
      <c r="F8" s="10"/>
      <c r="G8" s="11" t="s">
        <v>17</v>
      </c>
    </row>
    <row r="9" spans="1:7" ht="27.75" customHeight="1" x14ac:dyDescent="0.25">
      <c r="A9" s="12">
        <v>6</v>
      </c>
      <c r="B9" s="13"/>
      <c r="C9" s="14" t="s">
        <v>9</v>
      </c>
      <c r="D9" s="15" t="s">
        <v>20</v>
      </c>
      <c r="E9" s="15"/>
      <c r="F9" s="15"/>
      <c r="G9" s="16" t="s">
        <v>21</v>
      </c>
    </row>
    <row r="10" spans="1:7" ht="27.75" customHeight="1" x14ac:dyDescent="0.25">
      <c r="A10" s="7">
        <v>7</v>
      </c>
      <c r="B10" s="8"/>
      <c r="C10" s="17" t="s">
        <v>18</v>
      </c>
      <c r="D10" s="10" t="s">
        <v>22</v>
      </c>
      <c r="E10" s="10"/>
      <c r="F10" s="10"/>
      <c r="G10" s="11" t="s">
        <v>21</v>
      </c>
    </row>
    <row r="11" spans="1:7" ht="27.75" customHeight="1" x14ac:dyDescent="0.25">
      <c r="A11" s="12">
        <v>8</v>
      </c>
      <c r="B11" s="13"/>
      <c r="C11" s="18" t="s">
        <v>18</v>
      </c>
      <c r="D11" s="15" t="s">
        <v>23</v>
      </c>
      <c r="E11" s="15"/>
      <c r="F11" s="15"/>
      <c r="G11" s="16" t="s">
        <v>24</v>
      </c>
    </row>
    <row r="12" spans="1:7" ht="27.75" customHeight="1" x14ac:dyDescent="0.25">
      <c r="A12" s="7">
        <v>9</v>
      </c>
      <c r="B12" s="8"/>
      <c r="C12" s="17" t="s">
        <v>18</v>
      </c>
      <c r="D12" s="10" t="s">
        <v>25</v>
      </c>
      <c r="E12" s="10"/>
      <c r="F12" s="10"/>
      <c r="G12" s="11" t="s">
        <v>24</v>
      </c>
    </row>
    <row r="13" spans="1:7" ht="27.75" customHeight="1" x14ac:dyDescent="0.25">
      <c r="A13" s="12">
        <v>10</v>
      </c>
      <c r="B13" s="13"/>
      <c r="C13" s="19" t="s">
        <v>26</v>
      </c>
      <c r="D13" s="15" t="s">
        <v>27</v>
      </c>
      <c r="E13" s="15"/>
      <c r="F13" s="15"/>
      <c r="G13" s="16" t="s">
        <v>24</v>
      </c>
    </row>
  </sheetData>
  <autoFilter ref="A3:G13" xr:uid="{00000000-0009-0000-0000-000000000000}"/>
  <mergeCells count="2">
    <mergeCell ref="A1:F1"/>
    <mergeCell ref="A2:F2"/>
  </mergeCells>
  <dataValidations count="1">
    <dataValidation type="list" allowBlank="1" error="Selecione um status válido" sqref="B4:B13" xr:uid="{00000000-0002-0000-0000-000000000000}">
      <formula1>"✅ OK,⚠️ Parcial,❌ Pendente,➖ N/A"</formula1>
      <formula2>0</formula2>
    </dataValidation>
  </dataValidations>
  <hyperlinks>
    <hyperlink ref="G4" r:id="rId1" xr:uid="{00000000-0004-0000-0000-000000000000}"/>
    <hyperlink ref="G5" r:id="rId2" location="fact-tables" xr:uid="{00000000-0004-0000-0000-000001000000}"/>
    <hyperlink ref="G6" r:id="rId3" location="dimension-tables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G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28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1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29</v>
      </c>
      <c r="E4" s="10"/>
      <c r="F4" s="10"/>
      <c r="G4" s="11" t="s">
        <v>30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31</v>
      </c>
      <c r="E5" s="15"/>
      <c r="F5" s="15"/>
      <c r="G5" s="16" t="s">
        <v>30</v>
      </c>
    </row>
    <row r="6" spans="1:7" ht="27.75" customHeight="1" x14ac:dyDescent="0.25">
      <c r="A6" s="7">
        <v>3</v>
      </c>
      <c r="B6" s="8"/>
      <c r="C6" s="9" t="s">
        <v>9</v>
      </c>
      <c r="D6" s="10" t="s">
        <v>32</v>
      </c>
      <c r="E6" s="10"/>
      <c r="F6" s="10"/>
      <c r="G6" s="11" t="s">
        <v>33</v>
      </c>
    </row>
    <row r="7" spans="1:7" ht="27.75" customHeight="1" x14ac:dyDescent="0.25">
      <c r="A7" s="12">
        <v>4</v>
      </c>
      <c r="B7" s="13"/>
      <c r="C7" s="14" t="s">
        <v>9</v>
      </c>
      <c r="D7" s="15" t="s">
        <v>34</v>
      </c>
      <c r="E7" s="15"/>
      <c r="F7" s="15"/>
      <c r="G7" s="16" t="s">
        <v>35</v>
      </c>
    </row>
    <row r="8" spans="1:7" ht="27.75" customHeight="1" x14ac:dyDescent="0.25">
      <c r="A8" s="7">
        <v>5</v>
      </c>
      <c r="B8" s="8"/>
      <c r="C8" s="17" t="s">
        <v>18</v>
      </c>
      <c r="D8" s="10" t="s">
        <v>36</v>
      </c>
      <c r="E8" s="10"/>
      <c r="F8" s="10"/>
      <c r="G8" s="11" t="s">
        <v>37</v>
      </c>
    </row>
    <row r="9" spans="1:7" ht="27.75" customHeight="1" x14ac:dyDescent="0.25">
      <c r="A9" s="12">
        <v>6</v>
      </c>
      <c r="B9" s="13"/>
      <c r="C9" s="18" t="s">
        <v>18</v>
      </c>
      <c r="D9" s="15" t="s">
        <v>38</v>
      </c>
      <c r="E9" s="15"/>
      <c r="F9" s="15"/>
      <c r="G9" s="16" t="s">
        <v>39</v>
      </c>
    </row>
    <row r="10" spans="1:7" ht="27.75" customHeight="1" x14ac:dyDescent="0.25">
      <c r="A10" s="7">
        <v>7</v>
      </c>
      <c r="B10" s="8"/>
      <c r="C10" s="9" t="s">
        <v>9</v>
      </c>
      <c r="D10" s="10" t="s">
        <v>40</v>
      </c>
      <c r="E10" s="10"/>
      <c r="F10" s="10"/>
      <c r="G10" s="11" t="s">
        <v>41</v>
      </c>
    </row>
    <row r="11" spans="1:7" ht="27.75" customHeight="1" x14ac:dyDescent="0.25">
      <c r="A11" s="12">
        <v>8</v>
      </c>
      <c r="B11" s="13"/>
      <c r="C11" s="18" t="s">
        <v>18</v>
      </c>
      <c r="D11" s="15" t="s">
        <v>42</v>
      </c>
      <c r="E11" s="15"/>
      <c r="F11" s="15"/>
      <c r="G11" s="16" t="s">
        <v>43</v>
      </c>
    </row>
    <row r="12" spans="1:7" ht="27.75" customHeight="1" x14ac:dyDescent="0.25">
      <c r="A12" s="7">
        <v>9</v>
      </c>
      <c r="B12" s="8"/>
      <c r="C12" s="17" t="s">
        <v>18</v>
      </c>
      <c r="D12" s="10" t="s">
        <v>44</v>
      </c>
      <c r="E12" s="10"/>
      <c r="F12" s="10"/>
      <c r="G12" s="11" t="s">
        <v>45</v>
      </c>
    </row>
    <row r="13" spans="1:7" ht="27.75" customHeight="1" x14ac:dyDescent="0.25">
      <c r="A13" s="12">
        <v>10</v>
      </c>
      <c r="B13" s="13"/>
      <c r="C13" s="19" t="s">
        <v>26</v>
      </c>
      <c r="D13" s="15" t="s">
        <v>46</v>
      </c>
      <c r="E13" s="15"/>
      <c r="F13" s="15"/>
      <c r="G13" s="16" t="s">
        <v>47</v>
      </c>
    </row>
  </sheetData>
  <autoFilter ref="A3:G13" xr:uid="{00000000-0009-0000-0000-000001000000}"/>
  <mergeCells count="2">
    <mergeCell ref="A1:F1"/>
    <mergeCell ref="A2:F2"/>
  </mergeCells>
  <dataValidations count="1">
    <dataValidation type="list" allowBlank="1" error="Selecione um status válido" sqref="B4:B13" xr:uid="{00000000-0002-0000-0100-000000000000}">
      <formula1>"✅ OK,⚠️ Parcial,❌ Pendente,➖ N/A"</formula1>
      <formula2>0</formula2>
    </dataValidation>
  </dataValidations>
  <hyperlinks>
    <hyperlink ref="G4" r:id="rId1" xr:uid="{00000000-0004-0000-0100-000000000000}"/>
    <hyperlink ref="G5" r:id="rId2" xr:uid="{00000000-0004-0000-0100-000001000000}"/>
    <hyperlink ref="G6" r:id="rId3" xr:uid="{00000000-0004-0000-0100-000002000000}"/>
    <hyperlink ref="G7" r:id="rId4" xr:uid="{00000000-0004-0000-0100-000003000000}"/>
    <hyperlink ref="G8" r:id="rId5" xr:uid="{00000000-0004-0000-0100-000004000000}"/>
    <hyperlink ref="G9" r:id="rId6" xr:uid="{00000000-0004-0000-0100-000005000000}"/>
    <hyperlink ref="G10" r:id="rId7" xr:uid="{00000000-0004-0000-0100-000006000000}"/>
    <hyperlink ref="G11" r:id="rId8" xr:uid="{00000000-0004-0000-0100-000007000000}"/>
    <hyperlink ref="G12" r:id="rId9" xr:uid="{00000000-0004-0000-0100-000008000000}"/>
    <hyperlink ref="G13" r:id="rId10" xr:uid="{00000000-0004-0000-01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G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48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49</v>
      </c>
      <c r="E4" s="10"/>
      <c r="F4" s="10"/>
      <c r="G4" s="11" t="s">
        <v>50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51</v>
      </c>
      <c r="E5" s="15"/>
      <c r="F5" s="15"/>
      <c r="G5" s="16" t="s">
        <v>50</v>
      </c>
    </row>
    <row r="6" spans="1:7" ht="27.75" customHeight="1" x14ac:dyDescent="0.25">
      <c r="A6" s="7">
        <v>3</v>
      </c>
      <c r="B6" s="8"/>
      <c r="C6" s="9" t="s">
        <v>9</v>
      </c>
      <c r="D6" s="10" t="s">
        <v>52</v>
      </c>
      <c r="E6" s="10"/>
      <c r="F6" s="10"/>
      <c r="G6" s="11" t="s">
        <v>41</v>
      </c>
    </row>
    <row r="7" spans="1:7" ht="27.75" customHeight="1" x14ac:dyDescent="0.25">
      <c r="A7" s="12">
        <v>4</v>
      </c>
      <c r="B7" s="13"/>
      <c r="C7" s="18" t="s">
        <v>18</v>
      </c>
      <c r="D7" s="15" t="s">
        <v>53</v>
      </c>
      <c r="E7" s="15"/>
      <c r="F7" s="15"/>
      <c r="G7" s="16" t="s">
        <v>41</v>
      </c>
    </row>
    <row r="8" spans="1:7" ht="27.75" customHeight="1" x14ac:dyDescent="0.25">
      <c r="A8" s="7">
        <v>5</v>
      </c>
      <c r="B8" s="8"/>
      <c r="C8" s="17" t="s">
        <v>18</v>
      </c>
      <c r="D8" s="10" t="s">
        <v>54</v>
      </c>
      <c r="E8" s="10"/>
      <c r="F8" s="10"/>
      <c r="G8" s="11" t="s">
        <v>41</v>
      </c>
    </row>
    <row r="9" spans="1:7" ht="27.75" customHeight="1" x14ac:dyDescent="0.25">
      <c r="A9" s="12">
        <v>6</v>
      </c>
      <c r="B9" s="13"/>
      <c r="C9" s="14" t="s">
        <v>9</v>
      </c>
      <c r="D9" s="15" t="s">
        <v>55</v>
      </c>
      <c r="E9" s="15"/>
      <c r="F9" s="15"/>
      <c r="G9" s="16" t="s">
        <v>56</v>
      </c>
    </row>
    <row r="10" spans="1:7" ht="27.75" customHeight="1" x14ac:dyDescent="0.25">
      <c r="A10" s="7">
        <v>7</v>
      </c>
      <c r="B10" s="8"/>
      <c r="C10" s="24" t="s">
        <v>26</v>
      </c>
      <c r="D10" s="10" t="s">
        <v>57</v>
      </c>
      <c r="E10" s="10"/>
      <c r="F10" s="10"/>
      <c r="G10" s="11" t="s">
        <v>43</v>
      </c>
    </row>
    <row r="11" spans="1:7" ht="27.75" customHeight="1" x14ac:dyDescent="0.25">
      <c r="A11" s="12">
        <v>8</v>
      </c>
      <c r="B11" s="13"/>
      <c r="C11" s="18" t="s">
        <v>18</v>
      </c>
      <c r="D11" s="15" t="s">
        <v>58</v>
      </c>
      <c r="E11" s="15"/>
      <c r="F11" s="15"/>
      <c r="G11" s="16" t="s">
        <v>59</v>
      </c>
    </row>
    <row r="12" spans="1:7" ht="27.75" customHeight="1" x14ac:dyDescent="0.25">
      <c r="A12" s="7">
        <v>9</v>
      </c>
      <c r="B12" s="8"/>
      <c r="C12" s="24" t="s">
        <v>26</v>
      </c>
      <c r="D12" s="10" t="s">
        <v>60</v>
      </c>
      <c r="E12" s="10"/>
      <c r="F12" s="10"/>
      <c r="G12" s="11" t="s">
        <v>61</v>
      </c>
    </row>
    <row r="13" spans="1:7" ht="27.75" customHeight="1" x14ac:dyDescent="0.25">
      <c r="A13" s="12">
        <v>10</v>
      </c>
      <c r="B13" s="13"/>
      <c r="C13" s="18" t="s">
        <v>18</v>
      </c>
      <c r="D13" s="15" t="s">
        <v>62</v>
      </c>
      <c r="E13" s="15"/>
      <c r="F13" s="15"/>
      <c r="G13" s="16" t="s">
        <v>50</v>
      </c>
    </row>
  </sheetData>
  <autoFilter ref="A3:G13" xr:uid="{00000000-0009-0000-0000-000002000000}"/>
  <mergeCells count="2">
    <mergeCell ref="A1:F1"/>
    <mergeCell ref="A2:F2"/>
  </mergeCells>
  <dataValidations count="1">
    <dataValidation type="list" allowBlank="1" error="Selecione um status válido" sqref="B4:B13" xr:uid="{00000000-0002-0000-0200-000000000000}">
      <formula1>"✅ OK,⚠️ Parcial,❌ Pendente,➖ N/A"</formula1>
      <formula2>0</formula2>
    </dataValidation>
  </dataValidations>
  <hyperlinks>
    <hyperlink ref="G4" r:id="rId1" location="remove-unnecessary-columns" xr:uid="{00000000-0004-0000-0200-000000000000}"/>
    <hyperlink ref="G5" r:id="rId2" location="remove-unnecessary-columns" xr:uid="{00000000-0004-0000-0200-000001000000}"/>
    <hyperlink ref="G6" r:id="rId3" xr:uid="{00000000-0004-0000-0200-000002000000}"/>
    <hyperlink ref="G7" r:id="rId4" xr:uid="{00000000-0004-0000-0200-000003000000}"/>
    <hyperlink ref="G8" r:id="rId5" xr:uid="{00000000-0004-0000-0200-000004000000}"/>
    <hyperlink ref="G9" r:id="rId6" location="group-by-and-summarize" xr:uid="{00000000-0004-0000-0200-000005000000}"/>
    <hyperlink ref="G10" r:id="rId7" location="optimize-column-data-types" xr:uid="{00000000-0004-0000-0200-000006000000}"/>
    <hyperlink ref="G11" r:id="rId8" xr:uid="{00000000-0004-0000-0200-000007000000}"/>
    <hyperlink ref="G12" r:id="rId9" xr:uid="{00000000-0004-0000-0200-000008000000}"/>
    <hyperlink ref="G13" r:id="rId10" location="remove-unnecessary-columns" xr:uid="{00000000-0004-0000-02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6C1"/>
  </sheetPr>
  <dimension ref="A1:G1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63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1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64</v>
      </c>
      <c r="E4" s="10"/>
      <c r="F4" s="10"/>
      <c r="G4" s="11" t="s">
        <v>65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66</v>
      </c>
      <c r="E5" s="15"/>
      <c r="F5" s="15"/>
      <c r="G5" s="16" t="s">
        <v>67</v>
      </c>
    </row>
    <row r="6" spans="1:7" ht="27.75" customHeight="1" x14ac:dyDescent="0.25">
      <c r="A6" s="7">
        <v>3</v>
      </c>
      <c r="B6" s="8"/>
      <c r="C6" s="9" t="s">
        <v>9</v>
      </c>
      <c r="D6" s="10" t="s">
        <v>68</v>
      </c>
      <c r="E6" s="10"/>
      <c r="F6" s="10"/>
      <c r="G6" s="11" t="s">
        <v>69</v>
      </c>
    </row>
    <row r="7" spans="1:7" ht="27.75" customHeight="1" x14ac:dyDescent="0.25">
      <c r="A7" s="12">
        <v>4</v>
      </c>
      <c r="B7" s="13"/>
      <c r="C7" s="18" t="s">
        <v>18</v>
      </c>
      <c r="D7" s="15" t="s">
        <v>70</v>
      </c>
      <c r="E7" s="15"/>
      <c r="F7" s="15"/>
      <c r="G7" s="16" t="s">
        <v>71</v>
      </c>
    </row>
    <row r="8" spans="1:7" ht="27.75" customHeight="1" x14ac:dyDescent="0.25">
      <c r="A8" s="7">
        <v>5</v>
      </c>
      <c r="B8" s="8"/>
      <c r="C8" s="17" t="s">
        <v>18</v>
      </c>
      <c r="D8" s="10" t="s">
        <v>72</v>
      </c>
      <c r="E8" s="10"/>
      <c r="F8" s="10"/>
      <c r="G8" s="11" t="s">
        <v>73</v>
      </c>
    </row>
    <row r="9" spans="1:7" ht="27.75" customHeight="1" x14ac:dyDescent="0.25">
      <c r="A9" s="12">
        <v>6</v>
      </c>
      <c r="B9" s="13"/>
      <c r="C9" s="14" t="s">
        <v>9</v>
      </c>
      <c r="D9" s="15" t="s">
        <v>74</v>
      </c>
      <c r="E9" s="15"/>
      <c r="F9" s="15"/>
      <c r="G9" s="16" t="s">
        <v>75</v>
      </c>
    </row>
    <row r="10" spans="1:7" ht="27.75" customHeight="1" x14ac:dyDescent="0.25">
      <c r="A10" s="7">
        <v>7</v>
      </c>
      <c r="B10" s="8"/>
      <c r="C10" s="9" t="s">
        <v>9</v>
      </c>
      <c r="D10" s="10" t="s">
        <v>76</v>
      </c>
      <c r="E10" s="10"/>
      <c r="F10" s="10"/>
      <c r="G10" s="11" t="s">
        <v>77</v>
      </c>
    </row>
    <row r="11" spans="1:7" ht="27.75" customHeight="1" x14ac:dyDescent="0.25">
      <c r="A11" s="12">
        <v>8</v>
      </c>
      <c r="B11" s="13"/>
      <c r="C11" s="14" t="s">
        <v>9</v>
      </c>
      <c r="D11" s="15" t="s">
        <v>78</v>
      </c>
      <c r="E11" s="15"/>
      <c r="F11" s="15"/>
      <c r="G11" s="16" t="s">
        <v>79</v>
      </c>
    </row>
    <row r="12" spans="1:7" ht="27.75" customHeight="1" x14ac:dyDescent="0.25">
      <c r="A12" s="7">
        <v>9</v>
      </c>
      <c r="B12" s="8"/>
      <c r="C12" s="17" t="s">
        <v>18</v>
      </c>
      <c r="D12" s="10" t="s">
        <v>80</v>
      </c>
      <c r="E12" s="10"/>
      <c r="F12" s="10"/>
      <c r="G12" s="11" t="s">
        <v>81</v>
      </c>
    </row>
    <row r="13" spans="1:7" ht="27.75" customHeight="1" x14ac:dyDescent="0.25">
      <c r="A13" s="12">
        <v>10</v>
      </c>
      <c r="B13" s="13"/>
      <c r="C13" s="18" t="s">
        <v>18</v>
      </c>
      <c r="D13" s="15" t="s">
        <v>82</v>
      </c>
      <c r="E13" s="15"/>
      <c r="F13" s="15"/>
      <c r="G13" s="16" t="s">
        <v>83</v>
      </c>
    </row>
    <row r="14" spans="1:7" ht="27.75" customHeight="1" x14ac:dyDescent="0.25">
      <c r="A14" s="7">
        <v>11</v>
      </c>
      <c r="B14" s="8"/>
      <c r="C14" s="24" t="s">
        <v>26</v>
      </c>
      <c r="D14" s="10" t="s">
        <v>84</v>
      </c>
      <c r="E14" s="10"/>
      <c r="F14" s="10"/>
      <c r="G14" s="11" t="s">
        <v>85</v>
      </c>
    </row>
    <row r="15" spans="1:7" ht="27.75" customHeight="1" x14ac:dyDescent="0.25">
      <c r="A15" s="12">
        <v>12</v>
      </c>
      <c r="B15" s="13"/>
      <c r="C15" s="19" t="s">
        <v>26</v>
      </c>
      <c r="D15" s="15" t="s">
        <v>86</v>
      </c>
      <c r="E15" s="15"/>
      <c r="F15" s="15"/>
      <c r="G15" s="16" t="s">
        <v>61</v>
      </c>
    </row>
  </sheetData>
  <autoFilter ref="A3:G15" xr:uid="{00000000-0009-0000-0000-000003000000}"/>
  <mergeCells count="2">
    <mergeCell ref="A1:F1"/>
    <mergeCell ref="A2:F2"/>
  </mergeCells>
  <dataValidations count="1">
    <dataValidation type="list" allowBlank="1" error="Selecione um status válido" sqref="B4:B15" xr:uid="{00000000-0002-0000-0300-000000000000}">
      <formula1>"✅ OK,⚠️ Parcial,❌ Pendente,➖ N/A"</formula1>
      <formula2>0</formula2>
    </dataValidation>
  </dataValidations>
  <hyperlinks>
    <hyperlink ref="G4" r:id="rId1" xr:uid="{00000000-0004-0000-0300-000000000000}"/>
    <hyperlink ref="G5" r:id="rId2" xr:uid="{00000000-0004-0000-0300-000001000000}"/>
    <hyperlink ref="G6" r:id="rId3" xr:uid="{00000000-0004-0000-0300-000002000000}"/>
    <hyperlink ref="G7" r:id="rId4" xr:uid="{00000000-0004-0000-0300-000003000000}"/>
    <hyperlink ref="G8" r:id="rId5" xr:uid="{00000000-0004-0000-0300-000004000000}"/>
    <hyperlink ref="G9" r:id="rId6" xr:uid="{00000000-0004-0000-0300-000005000000}"/>
    <hyperlink ref="G10" r:id="rId7" xr:uid="{00000000-0004-0000-0300-000006000000}"/>
    <hyperlink ref="G11" r:id="rId8" xr:uid="{00000000-0004-0000-0300-000007000000}"/>
    <hyperlink ref="G12" r:id="rId9" xr:uid="{00000000-0004-0000-0300-000008000000}"/>
    <hyperlink ref="G13" r:id="rId10" xr:uid="{00000000-0004-0000-0300-000009000000}"/>
    <hyperlink ref="G14" r:id="rId11" xr:uid="{00000000-0004-0000-0300-00000A000000}"/>
    <hyperlink ref="G15" r:id="rId12" xr:uid="{00000000-0004-0000-03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D3C98"/>
  </sheetPr>
  <dimension ref="A1:G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87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6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88</v>
      </c>
      <c r="E4" s="10"/>
      <c r="F4" s="10"/>
      <c r="G4" s="11" t="s">
        <v>89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90</v>
      </c>
      <c r="E5" s="15"/>
      <c r="F5" s="15"/>
      <c r="G5" s="16" t="s">
        <v>89</v>
      </c>
    </row>
    <row r="6" spans="1:7" ht="27.75" customHeight="1" x14ac:dyDescent="0.25">
      <c r="A6" s="7">
        <v>3</v>
      </c>
      <c r="B6" s="8"/>
      <c r="C6" s="9" t="s">
        <v>9</v>
      </c>
      <c r="D6" s="10" t="s">
        <v>91</v>
      </c>
      <c r="E6" s="10"/>
      <c r="F6" s="10"/>
      <c r="G6" s="11" t="s">
        <v>50</v>
      </c>
    </row>
    <row r="7" spans="1:7" ht="27.75" customHeight="1" x14ac:dyDescent="0.25">
      <c r="A7" s="12">
        <v>4</v>
      </c>
      <c r="B7" s="13"/>
      <c r="C7" s="18" t="s">
        <v>18</v>
      </c>
      <c r="D7" s="15" t="s">
        <v>92</v>
      </c>
      <c r="E7" s="15"/>
      <c r="F7" s="15"/>
      <c r="G7" s="16" t="s">
        <v>93</v>
      </c>
    </row>
    <row r="8" spans="1:7" ht="27.75" customHeight="1" x14ac:dyDescent="0.25">
      <c r="A8" s="7">
        <v>5</v>
      </c>
      <c r="B8" s="8"/>
      <c r="C8" s="17" t="s">
        <v>18</v>
      </c>
      <c r="D8" s="10" t="s">
        <v>94</v>
      </c>
      <c r="E8" s="10"/>
      <c r="F8" s="10"/>
      <c r="G8" s="11" t="s">
        <v>95</v>
      </c>
    </row>
    <row r="9" spans="1:7" ht="27.75" customHeight="1" x14ac:dyDescent="0.25">
      <c r="A9" s="12">
        <v>6</v>
      </c>
      <c r="B9" s="13"/>
      <c r="C9" s="14" t="s">
        <v>9</v>
      </c>
      <c r="D9" s="15" t="s">
        <v>96</v>
      </c>
      <c r="E9" s="15"/>
      <c r="F9" s="15"/>
      <c r="G9" s="16" t="s">
        <v>41</v>
      </c>
    </row>
    <row r="10" spans="1:7" ht="27.75" customHeight="1" x14ac:dyDescent="0.25">
      <c r="A10" s="7">
        <v>7</v>
      </c>
      <c r="B10" s="8"/>
      <c r="C10" s="24" t="s">
        <v>26</v>
      </c>
      <c r="D10" s="10" t="s">
        <v>97</v>
      </c>
      <c r="E10" s="10"/>
      <c r="F10" s="10"/>
      <c r="G10" s="11" t="s">
        <v>98</v>
      </c>
    </row>
    <row r="11" spans="1:7" ht="27.75" customHeight="1" x14ac:dyDescent="0.25">
      <c r="A11" s="12">
        <v>8</v>
      </c>
      <c r="B11" s="13"/>
      <c r="C11" s="18" t="s">
        <v>18</v>
      </c>
      <c r="D11" s="15" t="s">
        <v>99</v>
      </c>
      <c r="E11" s="15"/>
      <c r="F11" s="15"/>
      <c r="G11" s="16" t="s">
        <v>100</v>
      </c>
    </row>
    <row r="12" spans="1:7" ht="27.75" customHeight="1" x14ac:dyDescent="0.25">
      <c r="A12" s="7">
        <v>9</v>
      </c>
      <c r="B12" s="8"/>
      <c r="C12" s="9" t="s">
        <v>9</v>
      </c>
      <c r="D12" s="10" t="s">
        <v>101</v>
      </c>
      <c r="E12" s="10"/>
      <c r="F12" s="10"/>
      <c r="G12" s="11" t="s">
        <v>102</v>
      </c>
    </row>
    <row r="13" spans="1:7" ht="27.75" customHeight="1" x14ac:dyDescent="0.25">
      <c r="A13" s="12">
        <v>10</v>
      </c>
      <c r="B13" s="13"/>
      <c r="C13" s="18" t="s">
        <v>18</v>
      </c>
      <c r="D13" s="15" t="s">
        <v>103</v>
      </c>
      <c r="E13" s="15"/>
      <c r="F13" s="15"/>
      <c r="G13" s="16" t="s">
        <v>104</v>
      </c>
    </row>
  </sheetData>
  <autoFilter ref="A3:G13" xr:uid="{00000000-0009-0000-0000-000004000000}"/>
  <mergeCells count="2">
    <mergeCell ref="A1:F1"/>
    <mergeCell ref="A2:F2"/>
  </mergeCells>
  <dataValidations count="1">
    <dataValidation type="list" allowBlank="1" error="Selecione um status válido" sqref="B4:B13" xr:uid="{00000000-0002-0000-0400-000000000000}">
      <formula1>"✅ OK,⚠️ Parcial,❌ Pendente,➖ N/A"</formula1>
      <formula2>0</formula2>
    </dataValidation>
  </dataValidations>
  <hyperlinks>
    <hyperlink ref="G4" r:id="rId1" xr:uid="{00000000-0004-0000-0400-000000000000}"/>
    <hyperlink ref="G5" r:id="rId2" xr:uid="{00000000-0004-0000-0400-000001000000}"/>
    <hyperlink ref="G6" r:id="rId3" location="select-only-the-columns-you-need" xr:uid="{00000000-0004-0000-0400-000002000000}"/>
    <hyperlink ref="G7" r:id="rId4" xr:uid="{00000000-0004-0000-0400-000003000000}"/>
    <hyperlink ref="G8" r:id="rId5" location="disable-loading-of-staging-queries" xr:uid="{00000000-0004-0000-0400-000004000000}"/>
    <hyperlink ref="G9" r:id="rId6" location="set-the-correct-data-types" xr:uid="{00000000-0004-0000-0400-000005000000}"/>
    <hyperlink ref="G10" r:id="rId7" xr:uid="{00000000-0004-0000-0400-000006000000}"/>
    <hyperlink ref="G11" r:id="rId8" xr:uid="{00000000-0004-0000-0400-000007000000}"/>
    <hyperlink ref="G12" r:id="rId9" xr:uid="{00000000-0004-0000-0400-000008000000}"/>
    <hyperlink ref="G13" r:id="rId10" xr:uid="{00000000-0004-0000-04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BC9C"/>
  </sheetPr>
  <dimension ref="A1:G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105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27" t="s">
        <v>2</v>
      </c>
      <c r="B3" s="27" t="s">
        <v>3</v>
      </c>
      <c r="C3" s="27" t="s">
        <v>4</v>
      </c>
      <c r="D3" s="27" t="s">
        <v>5</v>
      </c>
      <c r="E3" s="27" t="s">
        <v>6</v>
      </c>
      <c r="F3" s="27" t="s">
        <v>7</v>
      </c>
      <c r="G3" s="28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106</v>
      </c>
      <c r="E4" s="10"/>
      <c r="F4" s="10"/>
      <c r="G4" s="11" t="s">
        <v>107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108</v>
      </c>
      <c r="E5" s="15"/>
      <c r="F5" s="15"/>
      <c r="G5" s="16" t="s">
        <v>109</v>
      </c>
    </row>
    <row r="6" spans="1:7" ht="27.75" customHeight="1" x14ac:dyDescent="0.25">
      <c r="A6" s="7">
        <v>3</v>
      </c>
      <c r="B6" s="8"/>
      <c r="C6" s="17" t="s">
        <v>18</v>
      </c>
      <c r="D6" s="10" t="s">
        <v>110</v>
      </c>
      <c r="E6" s="10"/>
      <c r="F6" s="10"/>
      <c r="G6" s="11" t="s">
        <v>111</v>
      </c>
    </row>
    <row r="7" spans="1:7" ht="27.75" customHeight="1" x14ac:dyDescent="0.25">
      <c r="A7" s="12">
        <v>4</v>
      </c>
      <c r="B7" s="13"/>
      <c r="C7" s="18" t="s">
        <v>18</v>
      </c>
      <c r="D7" s="15" t="s">
        <v>112</v>
      </c>
      <c r="E7" s="15"/>
      <c r="F7" s="15"/>
      <c r="G7" s="16" t="s">
        <v>113</v>
      </c>
    </row>
    <row r="8" spans="1:7" ht="27.75" customHeight="1" x14ac:dyDescent="0.25">
      <c r="A8" s="7">
        <v>5</v>
      </c>
      <c r="B8" s="8"/>
      <c r="C8" s="24" t="s">
        <v>26</v>
      </c>
      <c r="D8" s="10" t="s">
        <v>114</v>
      </c>
      <c r="E8" s="10"/>
      <c r="F8" s="10"/>
      <c r="G8" s="11" t="s">
        <v>113</v>
      </c>
    </row>
    <row r="9" spans="1:7" ht="27.75" customHeight="1" x14ac:dyDescent="0.25">
      <c r="A9" s="12">
        <v>6</v>
      </c>
      <c r="B9" s="13"/>
      <c r="C9" s="18" t="s">
        <v>18</v>
      </c>
      <c r="D9" s="15" t="s">
        <v>115</v>
      </c>
      <c r="E9" s="15"/>
      <c r="F9" s="15"/>
      <c r="G9" s="16" t="s">
        <v>116</v>
      </c>
    </row>
    <row r="10" spans="1:7" ht="27.75" customHeight="1" x14ac:dyDescent="0.25">
      <c r="A10" s="7">
        <v>7</v>
      </c>
      <c r="B10" s="8"/>
      <c r="C10" s="17" t="s">
        <v>18</v>
      </c>
      <c r="D10" s="10" t="s">
        <v>117</v>
      </c>
      <c r="E10" s="10"/>
      <c r="F10" s="10"/>
      <c r="G10" s="11" t="s">
        <v>118</v>
      </c>
    </row>
    <row r="11" spans="1:7" ht="27.75" customHeight="1" x14ac:dyDescent="0.25">
      <c r="A11" s="12">
        <v>8</v>
      </c>
      <c r="B11" s="13"/>
      <c r="C11" s="18" t="s">
        <v>18</v>
      </c>
      <c r="D11" s="15" t="s">
        <v>119</v>
      </c>
      <c r="E11" s="15"/>
      <c r="F11" s="15"/>
      <c r="G11" s="16" t="s">
        <v>120</v>
      </c>
    </row>
    <row r="12" spans="1:7" ht="27.75" customHeight="1" x14ac:dyDescent="0.25">
      <c r="A12" s="7">
        <v>9</v>
      </c>
      <c r="B12" s="8"/>
      <c r="C12" s="24" t="s">
        <v>26</v>
      </c>
      <c r="D12" s="10" t="s">
        <v>121</v>
      </c>
      <c r="E12" s="10"/>
      <c r="F12" s="10"/>
      <c r="G12" s="11" t="s">
        <v>122</v>
      </c>
    </row>
    <row r="13" spans="1:7" ht="27.75" customHeight="1" x14ac:dyDescent="0.25">
      <c r="A13" s="12">
        <v>10</v>
      </c>
      <c r="B13" s="13"/>
      <c r="C13" s="14" t="s">
        <v>9</v>
      </c>
      <c r="D13" s="15" t="s">
        <v>123</v>
      </c>
      <c r="E13" s="15"/>
      <c r="F13" s="15"/>
      <c r="G13" s="16" t="s">
        <v>124</v>
      </c>
    </row>
  </sheetData>
  <autoFilter ref="A3:G13" xr:uid="{00000000-0009-0000-0000-000005000000}"/>
  <mergeCells count="2">
    <mergeCell ref="A1:F1"/>
    <mergeCell ref="A2:F2"/>
  </mergeCells>
  <dataValidations count="1">
    <dataValidation type="list" allowBlank="1" error="Selecione um status válido" sqref="B4:B13" xr:uid="{00000000-0002-0000-0500-000000000000}">
      <formula1>"✅ OK,⚠️ Parcial,❌ Pendente,➖ N/A"</formula1>
      <formula2>0</formula2>
    </dataValidation>
  </dataValidations>
  <hyperlinks>
    <hyperlink ref="G4" r:id="rId1" xr:uid="{00000000-0004-0000-0500-000000000000}"/>
    <hyperlink ref="G5" r:id="rId2" xr:uid="{00000000-0004-0000-0500-000001000000}"/>
    <hyperlink ref="G6" r:id="rId3" xr:uid="{00000000-0004-0000-0500-000002000000}"/>
    <hyperlink ref="G7" r:id="rId4" xr:uid="{00000000-0004-0000-0500-000003000000}"/>
    <hyperlink ref="G8" r:id="rId5" xr:uid="{00000000-0004-0000-0500-000004000000}"/>
    <hyperlink ref="G9" r:id="rId6" location="capacities-and-skus" xr:uid="{00000000-0004-0000-0500-000005000000}"/>
    <hyperlink ref="G10" r:id="rId7" xr:uid="{00000000-0004-0000-0500-000006000000}"/>
    <hyperlink ref="G11" r:id="rId8" xr:uid="{00000000-0004-0000-0500-000007000000}"/>
    <hyperlink ref="G12" r:id="rId9" xr:uid="{00000000-0004-0000-0500-000008000000}"/>
    <hyperlink ref="G13" r:id="rId10" xr:uid="{00000000-0004-0000-05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125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126</v>
      </c>
      <c r="E4" s="10"/>
      <c r="F4" s="10"/>
      <c r="G4" s="11" t="s">
        <v>127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128</v>
      </c>
      <c r="E5" s="15"/>
      <c r="F5" s="15"/>
      <c r="G5" s="16" t="s">
        <v>129</v>
      </c>
    </row>
    <row r="6" spans="1:7" ht="27.75" customHeight="1" x14ac:dyDescent="0.25">
      <c r="A6" s="7">
        <v>3</v>
      </c>
      <c r="B6" s="8"/>
      <c r="C6" s="17" t="s">
        <v>18</v>
      </c>
      <c r="D6" s="10" t="s">
        <v>130</v>
      </c>
      <c r="E6" s="10"/>
      <c r="F6" s="10"/>
      <c r="G6" s="11" t="s">
        <v>131</v>
      </c>
    </row>
    <row r="7" spans="1:7" ht="27.75" customHeight="1" x14ac:dyDescent="0.25">
      <c r="A7" s="12">
        <v>4</v>
      </c>
      <c r="B7" s="13"/>
      <c r="C7" s="18" t="s">
        <v>18</v>
      </c>
      <c r="D7" s="15" t="s">
        <v>132</v>
      </c>
      <c r="E7" s="15"/>
      <c r="F7" s="15"/>
      <c r="G7" s="16" t="s">
        <v>133</v>
      </c>
    </row>
    <row r="8" spans="1:7" ht="27.75" customHeight="1" x14ac:dyDescent="0.25">
      <c r="A8" s="7">
        <v>5</v>
      </c>
      <c r="B8" s="8"/>
      <c r="C8" s="9" t="s">
        <v>9</v>
      </c>
      <c r="D8" s="10" t="s">
        <v>134</v>
      </c>
      <c r="E8" s="10"/>
      <c r="F8" s="10"/>
      <c r="G8" s="11" t="s">
        <v>135</v>
      </c>
    </row>
    <row r="9" spans="1:7" ht="27.75" customHeight="1" x14ac:dyDescent="0.25">
      <c r="A9" s="12">
        <v>6</v>
      </c>
      <c r="B9" s="13"/>
      <c r="C9" s="19" t="s">
        <v>26</v>
      </c>
      <c r="D9" s="15" t="s">
        <v>136</v>
      </c>
      <c r="E9" s="15"/>
      <c r="F9" s="15"/>
      <c r="G9" s="16" t="s">
        <v>137</v>
      </c>
    </row>
    <row r="10" spans="1:7" ht="27.75" customHeight="1" x14ac:dyDescent="0.25">
      <c r="A10" s="7">
        <v>7</v>
      </c>
      <c r="B10" s="8"/>
      <c r="C10" s="17" t="s">
        <v>18</v>
      </c>
      <c r="D10" s="10" t="s">
        <v>138</v>
      </c>
      <c r="E10" s="10"/>
      <c r="F10" s="10"/>
      <c r="G10" s="11" t="s">
        <v>139</v>
      </c>
    </row>
    <row r="11" spans="1:7" ht="27.75" customHeight="1" x14ac:dyDescent="0.25">
      <c r="A11" s="12">
        <v>8</v>
      </c>
      <c r="B11" s="13"/>
      <c r="C11" s="19" t="s">
        <v>26</v>
      </c>
      <c r="D11" s="15" t="s">
        <v>140</v>
      </c>
      <c r="E11" s="15"/>
      <c r="F11" s="15"/>
      <c r="G11" s="16" t="s">
        <v>141</v>
      </c>
    </row>
    <row r="12" spans="1:7" ht="27.75" customHeight="1" x14ac:dyDescent="0.25">
      <c r="A12" s="7">
        <v>9</v>
      </c>
      <c r="B12" s="8"/>
      <c r="C12" s="24" t="s">
        <v>26</v>
      </c>
      <c r="D12" s="10" t="s">
        <v>142</v>
      </c>
      <c r="E12" s="10"/>
      <c r="F12" s="10"/>
      <c r="G12" s="11" t="s">
        <v>143</v>
      </c>
    </row>
    <row r="13" spans="1:7" ht="27.75" customHeight="1" x14ac:dyDescent="0.25">
      <c r="A13" s="12">
        <v>10</v>
      </c>
      <c r="B13" s="13"/>
      <c r="C13" s="14" t="s">
        <v>9</v>
      </c>
      <c r="D13" s="15" t="s">
        <v>144</v>
      </c>
      <c r="E13" s="15"/>
      <c r="F13" s="15"/>
      <c r="G13" s="16" t="s">
        <v>145</v>
      </c>
    </row>
  </sheetData>
  <autoFilter ref="A3:G13" xr:uid="{00000000-0009-0000-0000-000006000000}"/>
  <mergeCells count="2">
    <mergeCell ref="A1:F1"/>
    <mergeCell ref="A2:F2"/>
  </mergeCells>
  <dataValidations count="1">
    <dataValidation type="list" allowBlank="1" error="Selecione um status válido" sqref="B4:B13" xr:uid="{00000000-0002-0000-0600-000000000000}">
      <formula1>"✅ OK,⚠️ Parcial,❌ Pendente,➖ N/A"</formula1>
      <formula2>0</formula2>
    </dataValidation>
  </dataValidations>
  <hyperlinks>
    <hyperlink ref="G4" r:id="rId1" location="recommendations" xr:uid="{00000000-0004-0000-0600-000000000000}"/>
    <hyperlink ref="G5" r:id="rId2" xr:uid="{00000000-0004-0000-0600-000001000000}"/>
    <hyperlink ref="G6" r:id="rId3" xr:uid="{00000000-0004-0000-0600-000002000000}"/>
    <hyperlink ref="G7" r:id="rId4" xr:uid="{00000000-0004-0000-0600-000003000000}"/>
    <hyperlink ref="G8" r:id="rId5" location="disable-auto-datetime" xr:uid="{00000000-0004-0000-0600-000004000000}"/>
    <hyperlink ref="G9" r:id="rId6" xr:uid="{00000000-0004-0000-0600-000005000000}"/>
    <hyperlink ref="G10" r:id="rId7" xr:uid="{00000000-0004-0000-0600-000006000000}"/>
    <hyperlink ref="G11" r:id="rId8" xr:uid="{00000000-0004-0000-0600-000007000000}"/>
    <hyperlink ref="G12" r:id="rId9" xr:uid="{00000000-0004-0000-0600-000008000000}"/>
    <hyperlink ref="G13" r:id="rId10" xr:uid="{00000000-0004-0000-06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G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12" style="4" customWidth="1"/>
    <col min="4" max="4" width="55" style="4" customWidth="1"/>
    <col min="5" max="5" width="30" style="4" customWidth="1"/>
    <col min="6" max="6" width="15" style="4" customWidth="1"/>
    <col min="7" max="7" width="22" customWidth="1"/>
  </cols>
  <sheetData>
    <row r="1" spans="1:7" ht="30" customHeight="1" x14ac:dyDescent="0.25">
      <c r="A1" s="3" t="s">
        <v>146</v>
      </c>
      <c r="B1" s="3"/>
      <c r="C1" s="3"/>
      <c r="D1" s="3"/>
      <c r="E1" s="3"/>
      <c r="F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</row>
    <row r="3" spans="1:7" ht="15" customHeight="1" x14ac:dyDescent="0.25">
      <c r="A3" s="29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30" t="s">
        <v>8</v>
      </c>
    </row>
    <row r="4" spans="1:7" ht="27.75" customHeight="1" x14ac:dyDescent="0.25">
      <c r="A4" s="7">
        <v>1</v>
      </c>
      <c r="B4" s="8"/>
      <c r="C4" s="9" t="s">
        <v>9</v>
      </c>
      <c r="D4" s="10" t="s">
        <v>147</v>
      </c>
      <c r="E4" s="10"/>
      <c r="F4" s="10"/>
      <c r="G4" s="11" t="s">
        <v>148</v>
      </c>
    </row>
    <row r="5" spans="1:7" ht="27.75" customHeight="1" x14ac:dyDescent="0.25">
      <c r="A5" s="12">
        <v>2</v>
      </c>
      <c r="B5" s="13"/>
      <c r="C5" s="14" t="s">
        <v>9</v>
      </c>
      <c r="D5" s="15" t="s">
        <v>149</v>
      </c>
      <c r="E5" s="15"/>
      <c r="F5" s="15"/>
      <c r="G5" s="16" t="s">
        <v>148</v>
      </c>
    </row>
    <row r="6" spans="1:7" ht="27.75" customHeight="1" x14ac:dyDescent="0.25">
      <c r="A6" s="7">
        <v>3</v>
      </c>
      <c r="B6" s="8"/>
      <c r="C6" s="17" t="s">
        <v>18</v>
      </c>
      <c r="D6" s="10" t="s">
        <v>150</v>
      </c>
      <c r="E6" s="10"/>
      <c r="F6" s="10"/>
      <c r="G6" s="11" t="s">
        <v>151</v>
      </c>
    </row>
    <row r="7" spans="1:7" ht="27.75" customHeight="1" x14ac:dyDescent="0.25">
      <c r="A7" s="12">
        <v>4</v>
      </c>
      <c r="B7" s="13"/>
      <c r="C7" s="18" t="s">
        <v>18</v>
      </c>
      <c r="D7" s="15" t="s">
        <v>152</v>
      </c>
      <c r="E7" s="15"/>
      <c r="F7" s="15"/>
      <c r="G7" s="16" t="s">
        <v>148</v>
      </c>
    </row>
    <row r="8" spans="1:7" ht="27.75" customHeight="1" x14ac:dyDescent="0.25">
      <c r="A8" s="7">
        <v>5</v>
      </c>
      <c r="B8" s="8"/>
      <c r="C8" s="9" t="s">
        <v>9</v>
      </c>
      <c r="D8" s="10" t="s">
        <v>153</v>
      </c>
      <c r="E8" s="10"/>
      <c r="F8" s="10"/>
      <c r="G8" s="11" t="s">
        <v>154</v>
      </c>
    </row>
    <row r="9" spans="1:7" ht="27.75" customHeight="1" x14ac:dyDescent="0.25">
      <c r="A9" s="12">
        <v>6</v>
      </c>
      <c r="B9" s="13"/>
      <c r="C9" s="19" t="s">
        <v>26</v>
      </c>
      <c r="D9" s="15" t="s">
        <v>155</v>
      </c>
      <c r="E9" s="15"/>
      <c r="F9" s="15"/>
      <c r="G9" s="16" t="s">
        <v>148</v>
      </c>
    </row>
    <row r="10" spans="1:7" ht="27.75" customHeight="1" x14ac:dyDescent="0.25">
      <c r="A10" s="7">
        <v>7</v>
      </c>
      <c r="B10" s="8"/>
      <c r="C10" s="24" t="s">
        <v>26</v>
      </c>
      <c r="D10" s="10" t="s">
        <v>156</v>
      </c>
      <c r="E10" s="10"/>
      <c r="F10" s="10"/>
      <c r="G10" s="11" t="s">
        <v>157</v>
      </c>
    </row>
    <row r="11" spans="1:7" ht="27.75" customHeight="1" x14ac:dyDescent="0.25">
      <c r="A11" s="12">
        <v>8</v>
      </c>
      <c r="B11" s="13"/>
      <c r="C11" s="18" t="s">
        <v>18</v>
      </c>
      <c r="D11" s="15" t="s">
        <v>158</v>
      </c>
      <c r="E11" s="15"/>
      <c r="F11" s="15"/>
      <c r="G11" s="16" t="s">
        <v>148</v>
      </c>
    </row>
  </sheetData>
  <autoFilter ref="A3:G11" xr:uid="{00000000-0009-0000-0000-000007000000}"/>
  <mergeCells count="2">
    <mergeCell ref="A1:F1"/>
    <mergeCell ref="A2:F2"/>
  </mergeCells>
  <dataValidations count="1">
    <dataValidation type="list" allowBlank="1" error="Selecione um status válido" sqref="B4:B11" xr:uid="{00000000-0002-0000-0700-000000000000}">
      <formula1>"✅ OK,⚠️ Parcial,❌ Pendente,➖ N/A"</formula1>
      <formula2>0</formula2>
    </dataValidation>
  </dataValidations>
  <hyperlinks>
    <hyperlink ref="G4" r:id="rId1" xr:uid="{00000000-0004-0000-0700-000000000000}"/>
    <hyperlink ref="G5" r:id="rId2" xr:uid="{00000000-0004-0000-0700-000001000000}"/>
    <hyperlink ref="G6" r:id="rId3" xr:uid="{00000000-0004-0000-0700-000002000000}"/>
    <hyperlink ref="G7" r:id="rId4" xr:uid="{00000000-0004-0000-0700-000003000000}"/>
    <hyperlink ref="G8" r:id="rId5" location="validating-the-role-within-power-bi-desktop" xr:uid="{00000000-0004-0000-0700-000004000000}"/>
    <hyperlink ref="G9" r:id="rId6" xr:uid="{00000000-0004-0000-0700-000005000000}"/>
    <hyperlink ref="G10" r:id="rId7" xr:uid="{00000000-0004-0000-0700-000006000000}"/>
    <hyperlink ref="G11" r:id="rId8" xr:uid="{00000000-0004-0000-07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2A4A"/>
  </sheetPr>
  <dimension ref="A1:D1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5" style="4" customWidth="1"/>
    <col min="2" max="2" width="14" style="4" customWidth="1"/>
    <col min="3" max="3" width="10" style="4" customWidth="1"/>
    <col min="4" max="4" width="15" style="4" customWidth="1"/>
  </cols>
  <sheetData>
    <row r="1" spans="1:4" ht="34.5" customHeight="1" x14ac:dyDescent="0.25">
      <c r="A1" s="1" t="s">
        <v>159</v>
      </c>
      <c r="B1" s="1"/>
      <c r="C1" s="1"/>
      <c r="D1" s="1"/>
    </row>
    <row r="3" spans="1:4" ht="15" customHeight="1" x14ac:dyDescent="0.25">
      <c r="A3" s="31" t="s">
        <v>160</v>
      </c>
      <c r="B3" s="31" t="s">
        <v>161</v>
      </c>
      <c r="C3" s="31" t="s">
        <v>162</v>
      </c>
      <c r="D3" s="31" t="s">
        <v>163</v>
      </c>
    </row>
    <row r="4" spans="1:4" ht="15" customHeight="1" x14ac:dyDescent="0.25">
      <c r="A4" s="32" t="s">
        <v>164</v>
      </c>
      <c r="B4" s="33">
        <v>10</v>
      </c>
      <c r="C4" s="33">
        <f>COUNTIF('1. Modelagem'!B4:B13,"✅ OK")</f>
        <v>0</v>
      </c>
      <c r="D4" s="34">
        <f>IF((B4-COUNTIF('1. Modelagem'!B4:B13,"➖ N/A"))=0,0,C4/(B4-COUNTIF('1. Modelagem'!B4:B13,"➖ N/A")))</f>
        <v>0</v>
      </c>
    </row>
    <row r="5" spans="1:4" ht="15" customHeight="1" x14ac:dyDescent="0.25">
      <c r="A5" s="35" t="s">
        <v>165</v>
      </c>
      <c r="B5" s="36">
        <v>10</v>
      </c>
      <c r="C5" s="36">
        <f>COUNTIF('2. Relacionamentos'!B4:B13,"✅ OK")</f>
        <v>0</v>
      </c>
      <c r="D5" s="37">
        <f>IF((B5-COUNTIF('2. Relacionamentos'!B4:B13,"➖ N/A"))=0,0,C5/(B5-COUNTIF('2. Relacionamentos'!B4:B13,"➖ N/A")))</f>
        <v>0</v>
      </c>
    </row>
    <row r="6" spans="1:4" ht="15" customHeight="1" x14ac:dyDescent="0.25">
      <c r="A6" s="32" t="s">
        <v>166</v>
      </c>
      <c r="B6" s="33">
        <v>10</v>
      </c>
      <c r="C6" s="33">
        <f>COUNTIF('3. Colunas'!B4:B13,"✅ OK")</f>
        <v>0</v>
      </c>
      <c r="D6" s="34">
        <f>IF((B6-COUNTIF('3. Colunas'!B4:B13,"➖ N/A"))=0,0,C6/(B6-COUNTIF('3. Colunas'!B4:B13,"➖ N/A")))</f>
        <v>0</v>
      </c>
    </row>
    <row r="7" spans="1:4" ht="15" customHeight="1" x14ac:dyDescent="0.25">
      <c r="A7" s="35" t="s">
        <v>167</v>
      </c>
      <c r="B7" s="36">
        <v>12</v>
      </c>
      <c r="C7" s="36">
        <f>COUNTIF('4. Medidas DAX'!B4:B15,"✅ OK")</f>
        <v>0</v>
      </c>
      <c r="D7" s="37">
        <f>IF((B7-COUNTIF('4. Medidas DAX'!B4:B15,"➖ N/A"))=0,0,C7/(B7-COUNTIF('4. Medidas DAX'!B4:B15,"➖ N/A")))</f>
        <v>0</v>
      </c>
    </row>
    <row r="8" spans="1:4" ht="15" customHeight="1" x14ac:dyDescent="0.25">
      <c r="A8" s="32" t="s">
        <v>168</v>
      </c>
      <c r="B8" s="33">
        <v>10</v>
      </c>
      <c r="C8" s="33">
        <f>COUNTIF('5. Power Query'!B4:B13,"✅ OK")</f>
        <v>0</v>
      </c>
      <c r="D8" s="34">
        <f>IF((B8-COUNTIF('5. Power Query'!B4:B13,"➖ N/A"))=0,0,C8/(B8-COUNTIF('5. Power Query'!B4:B13,"➖ N/A")))</f>
        <v>0</v>
      </c>
    </row>
    <row r="9" spans="1:4" ht="15" customHeight="1" x14ac:dyDescent="0.25">
      <c r="A9" s="35" t="s">
        <v>169</v>
      </c>
      <c r="B9" s="36">
        <v>10</v>
      </c>
      <c r="C9" s="36">
        <f>COUNTIF('6. Armazenamento'!B4:B13,"✅ OK")</f>
        <v>0</v>
      </c>
      <c r="D9" s="37">
        <f>IF((B9-COUNTIF('6. Armazenamento'!B4:B13,"➖ N/A"))=0,0,C9/(B9-COUNTIF('6. Armazenamento'!B4:B13,"➖ N/A")))</f>
        <v>0</v>
      </c>
    </row>
    <row r="10" spans="1:4" ht="15" customHeight="1" x14ac:dyDescent="0.25">
      <c r="A10" s="32" t="s">
        <v>170</v>
      </c>
      <c r="B10" s="33">
        <v>10</v>
      </c>
      <c r="C10" s="33">
        <f>COUNTIF('7. Visuais'!B4:B13,"✅ OK")</f>
        <v>0</v>
      </c>
      <c r="D10" s="34">
        <f>IF((B10-COUNTIF('7. Visuais'!B4:B13,"➖ N/A"))=0,0,C10/(B10-COUNTIF('7. Visuais'!B4:B13,"➖ N/A")))</f>
        <v>0</v>
      </c>
    </row>
    <row r="11" spans="1:4" ht="15" customHeight="1" x14ac:dyDescent="0.25">
      <c r="A11" s="35" t="s">
        <v>171</v>
      </c>
      <c r="B11" s="36">
        <v>8</v>
      </c>
      <c r="C11" s="36">
        <f>COUNTIF('8. RLS'!B4:B11,"✅ OK")</f>
        <v>0</v>
      </c>
      <c r="D11" s="37">
        <f>IF((B11-COUNTIF('8. RLS'!B4:B11,"➖ N/A"))=0,0,C11/(B11-COUNTIF('8. RLS'!B4:B11,"➖ N/A")))</f>
        <v>0</v>
      </c>
    </row>
    <row r="12" spans="1:4" ht="15" customHeight="1" x14ac:dyDescent="0.25">
      <c r="A12" s="38" t="s">
        <v>172</v>
      </c>
      <c r="B12" s="39">
        <f>SUM(B4:B11)</f>
        <v>80</v>
      </c>
      <c r="C12" s="39">
        <f>SUM(C4:C11)</f>
        <v>0</v>
      </c>
      <c r="D12" s="40">
        <f>IF(SUM(C4:C11)=0,0,AVERAGE(D4:D11))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1. Modelagem</vt:lpstr>
      <vt:lpstr>2. Relacionamentos</vt:lpstr>
      <vt:lpstr>3. Colunas</vt:lpstr>
      <vt:lpstr>4. Medidas DAX</vt:lpstr>
      <vt:lpstr>5. Power Query</vt:lpstr>
      <vt:lpstr>6. Armazenamento</vt:lpstr>
      <vt:lpstr>7. Visuais</vt:lpstr>
      <vt:lpstr>8. RLS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Nayara Hellen</cp:lastModifiedBy>
  <cp:revision>0</cp:revision>
  <dcterms:created xsi:type="dcterms:W3CDTF">2026-02-06T21:56:55Z</dcterms:created>
  <dcterms:modified xsi:type="dcterms:W3CDTF">2026-02-07T12:18:33Z</dcterms:modified>
  <dc:language>en-US</dc:language>
</cp:coreProperties>
</file>