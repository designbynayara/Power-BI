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92424C-D93C-4F88-8096-DD6A90453E3C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Checklist UX &amp; DataViz" sheetId="1" r:id="rId1"/>
    <sheet name="Como Usa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1" l="1"/>
  <c r="C3" i="1"/>
  <c r="A3" i="1"/>
</calcChain>
</file>

<file path=xl/sharedStrings.xml><?xml version="1.0" encoding="utf-8"?>
<sst xmlns="http://schemas.openxmlformats.org/spreadsheetml/2006/main" count="275" uniqueCount="196">
  <si>
    <t>CHECKLIST DE UX E DATAVIZ  |  POWER BI</t>
  </si>
  <si>
    <t xml:space="preserve">  📋 Projeto:</t>
  </si>
  <si>
    <t xml:space="preserve">  👤 Responsável:</t>
  </si>
  <si>
    <t xml:space="preserve">  📅 Data:</t>
  </si>
  <si>
    <t>#</t>
  </si>
  <si>
    <t>CATEGORIA</t>
  </si>
  <si>
    <t>FOCO / PERGUNTA-GUIA</t>
  </si>
  <si>
    <t>TAREFA / VERIFICAÇÃO</t>
  </si>
  <si>
    <t>REFERÊNCIA / LEITURA</t>
  </si>
  <si>
    <t>STATUS</t>
  </si>
  <si>
    <t xml:space="preserve">  HIERARQUIA VISUAL E ATENÇÃO</t>
  </si>
  <si>
    <t>HIERARQUIA VISUAL E ATENÇÃO</t>
  </si>
  <si>
    <t>O usuário sabe para onde olhar nos primeiros 5 segundos?</t>
  </si>
  <si>
    <t>Teste dos 5 Segundos: Se alguém olhar a tela por 5 seg, identifica o principal KPI da página?</t>
  </si>
  <si>
    <t>https://usabilityhub.com/guides/five-second-testing</t>
  </si>
  <si>
    <t>Pendente</t>
  </si>
  <si>
    <t>O layout segue o padrão de leitura natural?</t>
  </si>
  <si>
    <t>Padrão de Leitura em Z: KPIs macro no canto superior esquerdo → fluxo segue esquerda→direita, topo→baixo.</t>
  </si>
  <si>
    <t>https://www.nngroup.com/articles/f-shaped-pattern-reading-web-content/</t>
  </si>
  <si>
    <t>Elementos relacionados estão agrupados visualmente?</t>
  </si>
  <si>
    <t>Lei da Proximidade (Gestalt): Filtros agrupados perto dos gráficos que afetam. Gráficos do mesmo tema estão próximos.</t>
  </si>
  <si>
    <t>https://playfairdata.com/applying-gestalt-principles-to-dashboard-design/</t>
  </si>
  <si>
    <t>Há uma hierarquia clara de importância visual?</t>
  </si>
  <si>
    <t>Disclosure Progressiva: KPIs de nível macro → gráficos de tendência → tabelas de detalhe. O dashboard guia o olhar em camadas.</t>
  </si>
  <si>
    <t>https://learn.microsoft.com/en-us/power-bi/create-reports/service-dashboards-design-tips</t>
  </si>
  <si>
    <t>Cada visual tem tamanho proporcional à sua importância?</t>
  </si>
  <si>
    <t>Peso Visual: O visual mais importante da página é o maior? Visuais secundários ocupam menos espaço que os primários?</t>
  </si>
  <si>
    <t>https://www.aufaitux.com/blog/power-bi-ux-storyboarding-best-practices/</t>
  </si>
  <si>
    <t xml:space="preserve">  RUÍDO VISUAL E DATA-INK</t>
  </si>
  <si>
    <t>RUÍDO VISUAL E DATA-INK</t>
  </si>
  <si>
    <t>Estamos facilitando ou dificultando o processamento visual?</t>
  </si>
  <si>
    <t>Data-Ink Ratio (Tufte): Removi tudo que não é dado? Bordas excessivas, fundos coloridos, linhas de grade escuras, efeitos 3D.</t>
  </si>
  <si>
    <t>https://www.holistics.io/blog/data-ink-ratio/</t>
  </si>
  <si>
    <t>A cor está a serviço dos dados?</t>
  </si>
  <si>
    <t>Economia de Cor: Cor usada apenas para destacar dados (alertas, categorias), não para decoração. Ideal: máx. 3-5 cores de destaque.</t>
  </si>
  <si>
    <t>https://blog.datawrapper.de/colors-for-data-vis-style-guides/</t>
  </si>
  <si>
    <t>A formatação é consistente em toda a página?</t>
  </si>
  <si>
    <t>Consistência Visual: Títulos com mesmo tamanho, formatação numérica uniforme (casas decimais, moeda), alinhamento padronizado.</t>
  </si>
  <si>
    <t>https://www.numerro.io/data-visualization-design-tips</t>
  </si>
  <si>
    <t>Há gráficos ou visuais que podem ser removidos sem perda?</t>
  </si>
  <si>
    <t>Menos é Mais: Máximo 8 visuais por página (recomendação Microsoft). Cada visual responde a UMA pergunta clara?</t>
  </si>
  <si>
    <t>https://learn.microsoft.com/en-us/power-bi/guidance/report-page-tooltips</t>
  </si>
  <si>
    <t>As legendas são realmente necessárias?</t>
  </si>
  <si>
    <t>Labels Diretas: Substituí legendas por rótulos diretos nos gráficos sempre que possível? Isso reduz movimento ocular.</t>
  </si>
  <si>
    <t>https://thedoublethink.com/tuftes-principles-for-visualizing-quantitative-information/</t>
  </si>
  <si>
    <t xml:space="preserve">  CONTEXTO E STORYTELLING</t>
  </si>
  <si>
    <t>CONTEXTO E STORYTELLING</t>
  </si>
  <si>
    <t>O dashboard fala a língua do negócio?</t>
  </si>
  <si>
    <t>Títulos Descritivos: O título explica o insight, não o tipo do gráfico. Ex: 'Queda de 12% nas Vendas no Q4' em vez de 'Vendas por Mês'.</t>
  </si>
  <si>
    <t>https://www.storytellingwithdata.com/blog/2017/3/29/declutter-this-graph</t>
  </si>
  <si>
    <t>Os números grandes têm ponto de comparação?</t>
  </si>
  <si>
    <t>Contexto Comparativo: Big numbers mostram meta, variação % ou comparação com período anterior? '1M' é inútil sem saber se a meta era 500K ou 2M.</t>
  </si>
  <si>
    <t>https://www.sqlbi.com/articles/numbers-are-useless-without-context/</t>
  </si>
  <si>
    <t>Elementos interativos são óbvios para o usuário?</t>
  </si>
  <si>
    <t>Affordance de Clique: Botões, drill-throughs e links estão visualmente claros? Há ícones ou texto indicando interatividade?</t>
  </si>
  <si>
    <t>https://www.nngroup.com/articles/affordance-conventions/</t>
  </si>
  <si>
    <t>Cada visual justifica sua existência?</t>
  </si>
  <si>
    <t>Propósito Definido: Cada gráfico responde a uma pergunta de negócio específica? Se removido, alguém sentiria falta para tomar decisão?</t>
  </si>
  <si>
    <t>https://funnel.io/blog/bi-dashboards</t>
  </si>
  <si>
    <t>O tipo de gráfico é o mais adequado para a mensagem?</t>
  </si>
  <si>
    <t>Escolha de Visual: Comparação → barras. Tendência → linhas. Composição → stacked. Distribuição → histograma. Evitar pizza com &gt;5 fatias.</t>
  </si>
  <si>
    <t>https://www.data-to-viz.com/</t>
  </si>
  <si>
    <t xml:space="preserve">  CONFORTO OCULAR E TIPOGRAFIA</t>
  </si>
  <si>
    <t>CONFORTO OCULAR E TIPOGRAFIA</t>
  </si>
  <si>
    <t>A tipografia cria hierarquia visual?</t>
  </si>
  <si>
    <t>Tipografia Hierárquica: Negrito para totais, Regular para detalhes, Cinza para metadados. Tamanho mínimo: 9pt. Máximo 2 famílias de fontes.</t>
  </si>
  <si>
    <t>https://learn.microsoft.com/en-us/power-bi/visuals/power-bi-visualization-best-practices</t>
  </si>
  <si>
    <t>Os números são fáceis de processar rapidamente?</t>
  </si>
  <si>
    <t>Precisão Numérica: Números resumidos ('1,2M' em vez de '1.240.500,00'). Casas decimais apenas quando necessário para o contexto.</t>
  </si>
  <si>
    <t>https://www.perceptualedge.com/articles/Whitepapers/Formatting_Numbers.pdf</t>
  </si>
  <si>
    <t>Há espaço de respiro entre os elementos?</t>
  </si>
  <si>
    <t>Espaço em Branco (Whitespace): Padding suficiente entre gráficos. Visuais não estão colados. Margem mín. de 8px entre elementos.</t>
  </si>
  <si>
    <t>https://learn.microsoft.com/en-us/power-bi/create-reports/power-bi-create-mobile-optimized-report-best-practices</t>
  </si>
  <si>
    <t>O alinhamento está consistente?</t>
  </si>
  <si>
    <t>Grid e Alinhamento: Todos os visuais estão alinhados a um grid invisível? Bordas superiores e inferiores alinhadas entre visuais adjacentes?</t>
  </si>
  <si>
    <t xml:space="preserve">  ACESSIBILIDADE E INCLUSÃO</t>
  </si>
  <si>
    <t>ACESSIBILIDADE E INCLUSÃO</t>
  </si>
  <si>
    <t>O dashboard é inclusivo para daltônicos?</t>
  </si>
  <si>
    <t>Teste de Daltonismo: As cores funcionam sem verde/vermelho? Simulador: use Coblis ou extensão Chrome NoCoffee. Dashboard faz sentido em P&amp;B?</t>
  </si>
  <si>
    <t>https://www.color-blindness.com/coblis-color-blindness-simulator/</t>
  </si>
  <si>
    <t>A data de atualização está visível?</t>
  </si>
  <si>
    <t>Credibilidade dos Dados: Data/hora da última atualização visível no topo ou rodapé. Fonte dos dados clara para o usuário.</t>
  </si>
  <si>
    <t>O texto tem contraste suficiente?</t>
  </si>
  <si>
    <t>Contraste WCAG: Texto com ratio mínimo 4.5:1 contra o fundo. Teste em projetores ruins ou telas com brilho baixo. Ferramenta: WebAIM Contrast Checker.</t>
  </si>
  <si>
    <t>https://webaim.org/resources/contrastchecker/</t>
  </si>
  <si>
    <t>Os dados são apresentados com redundância visual?</t>
  </si>
  <si>
    <t>Não Depender Só de Cor: Usar ícones (▲▼), padrões ou texto além de cor para transmitir informação. Essencial para daltônicos (~8% dos homens).</t>
  </si>
  <si>
    <t>https://www.w3.org/WAI/WCAG21/Understanding/non-text-contrast.html</t>
  </si>
  <si>
    <t>O dashboard possui alt text nos visuais?</t>
  </si>
  <si>
    <t>Alt Text: Cada visual tem texto alternativo descritivo para leitores de tela? Power BI suporta alt text dinâmico via DAX.</t>
  </si>
  <si>
    <t>https://learn.microsoft.com/en-us/power-bi/create-reports/desktop-accessibility-creating-reports</t>
  </si>
  <si>
    <t xml:space="preserve">  INTERAÇÃO E NAVEGAÇÃO</t>
  </si>
  <si>
    <t>INTERAÇÃO E NAVEGAÇÃO</t>
  </si>
  <si>
    <t>Os tooltips agregam valor?</t>
  </si>
  <si>
    <t>Tooltips de Valor: O tooltip traz contexto extra (composição, %) ou apenas repete o número que já está visível no gráfico?</t>
  </si>
  <si>
    <t>https://learn.microsoft.com/en-us/power-bi/create-reports/desktop-tooltips</t>
  </si>
  <si>
    <t>O estado de filtro é óbvio?</t>
  </si>
  <si>
    <t>Feedback de Filtro: É claro quais filtros estão ativos? Há botão 'Limpar Filtros' acessível? O usuário nunca fica perdido sobre o contexto atual.</t>
  </si>
  <si>
    <t>https://learn.microsoft.com/en-us/power-bi/create-reports/power-bi-report-filter</t>
  </si>
  <si>
    <t>As interações entre visuais foram revisadas?</t>
  </si>
  <si>
    <t>Cross-Filtering Intencional: Desabilitei interações automáticas desnecessárias? Cada clique produz o resultado esperado pelo usuário?</t>
  </si>
  <si>
    <t>https://learn.microsoft.com/en-us/power-bi/create-reports/service-reports-visual-interactions</t>
  </si>
  <si>
    <t>A navegação entre páginas é intuitiva?</t>
  </si>
  <si>
    <t>Navegação Clara: Há menu/abas visíveis para navegar entre páginas? O usuário sabe em qual página está e como voltar?</t>
  </si>
  <si>
    <t>https://learn.microsoft.com/en-us/power-bi/create-reports/button-navigators</t>
  </si>
  <si>
    <t xml:space="preserve">  ADAPTABILIDADE MOBILE</t>
  </si>
  <si>
    <t>ADAPTABILIDADE MOBILE</t>
  </si>
  <si>
    <t>Existe layout mobile dedicado?</t>
  </si>
  <si>
    <t>Layout Mobile: Criei um layout específico para celular no Power BI Desktop (View → Mobile Layout)? Não forçar zoom numa tela minúscula.</t>
  </si>
  <si>
    <t>Os elementos são tocáveis com o dedo?</t>
  </si>
  <si>
    <t>Áreas de Toque: Botões e slicers são grandes o suficiente para o dedo (mín. 44x44px)? Slicers horizontais ou dropdown em vez de verticais longos.</t>
  </si>
  <si>
    <t>https://learn.microsoft.com/en-us/power-bi/create-reports/power-bi-create-mobile-optimized-report-format-visuals</t>
  </si>
  <si>
    <t>A versão mobile foi simplificada?</t>
  </si>
  <si>
    <t>Simplificação Mobile: Apenas KPIs essenciais na versão celular. Visuais mais importantes no topo. Removidas tabelas complexas e matrizes longas.</t>
  </si>
  <si>
    <t>https://learn.microsoft.com/en-us/power-bi/create-reports/power-bi-create-mobile-optimized-report-mobile-layout-view</t>
  </si>
  <si>
    <t xml:space="preserve">  PERFORMANCE E OTIMIZAÇÃO</t>
  </si>
  <si>
    <t>PERFORMANCE E OTIMIZAÇÃO</t>
  </si>
  <si>
    <t>O relatório carrega rápido?</t>
  </si>
  <si>
    <t>Tempo de Carregamento: O relatório abre em menos de 5 segundos? Use o Performance Analyzer (View → Performance Analyzer) para diagnosticar.</t>
  </si>
  <si>
    <t>https://learn.microsoft.com/en-us/power-bi/create-reports/desktop-performance-analyzer</t>
  </si>
  <si>
    <t>Há visuais ocultos consumindo recursos?</t>
  </si>
  <si>
    <t>Redução de Elementos: Removi visuais invisíveis/sobrepostos? Máx. 8 visuais + 1 tabela por página. Desabilitei interações desnecessárias?</t>
  </si>
  <si>
    <t>https://learn.microsoft.com/en-us/power-bi/guidance/report-performance-improve</t>
  </si>
  <si>
    <t>Os filtros respondem rápido?</t>
  </si>
  <si>
    <t>Filtros Eficientes: Slicers respondem em &lt;2 seg? Cada slicer gera 2 queries — removi os pouco usados? Considerei filtro de URL ou página dedicada?</t>
  </si>
  <si>
    <t>As medidas DAX estão otimizadas?</t>
  </si>
  <si>
    <t>DAX Performance: Usei variáveis (VAR) para evitar recálculos? Evitei FILTER() com tabelas inteiras? Preferi CALCULATE + condições simples?</t>
  </si>
  <si>
    <t>https://www.sqlbi.com/articles/optimizing-dax/</t>
  </si>
  <si>
    <t xml:space="preserve">  ENTREGA E MANUTENIBILIDADE</t>
  </si>
  <si>
    <t>ENTREGA E MANUTENIBILIDADE</t>
  </si>
  <si>
    <t>O projeto sobrevive sem mim?</t>
  </si>
  <si>
    <t>Documentação de Regras: Existe uma página oculta ou tooltips explicando como métricas complexas foram calculadas? Há um dicionário de dados?</t>
  </si>
  <si>
    <t>https://data-mozart.com/power-bi-documentation-best-practices/</t>
  </si>
  <si>
    <t>Os campos são legíveis para o usuário final?</t>
  </si>
  <si>
    <t>Nomenclatura Limpa: Campos com nomes amigáveis em vez de códigos técnicos (ex: 'Total de Vendas' em vez de 'Sum_Vl_Tot'). Pastas de exibição organizadas.</t>
  </si>
  <si>
    <t>https://www.sqlbi.com/articles/naming-best-practices/</t>
  </si>
  <si>
    <t>Os dados foram validados?</t>
  </si>
  <si>
    <t>Validação Final: Os números finais batem com o sistema de origem? Validação cruzada com planilha de controle do cliente? Testei com filtros extremos?</t>
  </si>
  <si>
    <t>O modelo está documentado?</t>
  </si>
  <si>
    <t>Descrições no Modelo: Medidas e colunas calculadas possuem descrições no modelo semântico? Facilitam busca e entendimento por outros devs?</t>
  </si>
  <si>
    <t>https://learn.microsoft.com/en-us/power-bi/transform-model/desktop-field-list</t>
  </si>
  <si>
    <t xml:space="preserve">  MODELAGEM E GOVERNANÇA</t>
  </si>
  <si>
    <t>MODELAGEM E GOVERNANÇA</t>
  </si>
  <si>
    <t>O modelo segue boas práticas?</t>
  </si>
  <si>
    <t>Star Schema: O modelo segue esquema estrela? Fato no centro, dimensões ao redor? Evitei relações many-to-many desnecessárias?</t>
  </si>
  <si>
    <t>https://learn.microsoft.com/en-us/power-bi/guidance/star-schema</t>
  </si>
  <si>
    <t>A segurança dos dados foi configurada?</t>
  </si>
  <si>
    <t>RLS (Row-Level Security): Se necessário, implementei RLS para restringir dados por usuário/perfil? Testei com diferentes roles?</t>
  </si>
  <si>
    <t>https://learn.microsoft.com/en-us/power-bi/enterprise/service-admin-rls</t>
  </si>
  <si>
    <t>O workspace está organizado?</t>
  </si>
  <si>
    <t>Organização do Workspace: Relatórios, datasets e dataflows com nomenclatura padronizada? Versionamento controlado? Ambiente DEV/PROD separado?</t>
  </si>
  <si>
    <t>https://learn.microsoft.com/en-us/power-bi/guidance/powerbi-implementation-planning-workspaces-overview</t>
  </si>
  <si>
    <t>💡 Clique na coluna STATUS e selecione: Concluído  |  Não Atende  |  Pendente  |  N/A  —  Os contadores no topo atualizam automaticamente.</t>
  </si>
  <si>
    <t>📚 LEITURAS FUNDAMENTAIS</t>
  </si>
  <si>
    <t>RECURSO</t>
  </si>
  <si>
    <t>AUTOR</t>
  </si>
  <si>
    <t>DESCRIÇÃO</t>
  </si>
  <si>
    <t>LINK</t>
  </si>
  <si>
    <t>📖 Storytelling with Data</t>
  </si>
  <si>
    <t>Cole Nussbaumer Knaflic</t>
  </si>
  <si>
    <t>O livro essencial sobre como comunicar com dados de forma eficaz.</t>
  </si>
  <si>
    <t>https://www.storytellingwithdata.com/</t>
  </si>
  <si>
    <t>📖 The Visual Display of Quantitative Information</t>
  </si>
  <si>
    <t>Edward Tufte</t>
  </si>
  <si>
    <t>O clássico sobre data-ink ratio, chartjunk e princípios de visualização.</t>
  </si>
  <si>
    <t>https://www.edwardtufte.com/tufte/books_vdqi</t>
  </si>
  <si>
    <t>📖 Information Dashboard Design</t>
  </si>
  <si>
    <t>Stephen Few</t>
  </si>
  <si>
    <t>Guia prático para design de dashboards com foco em percepção visual.</t>
  </si>
  <si>
    <t>https://www.perceptualedge.com/</t>
  </si>
  <si>
    <t>📖 The Functional Art</t>
  </si>
  <si>
    <t>Alberto Cairo</t>
  </si>
  <si>
    <t>Introdução a infográficos e visualização com base em princípios Gestalt.</t>
  </si>
  <si>
    <t>https://www.thefunctionalart.com/</t>
  </si>
  <si>
    <t>📖 The Big Book of Dashboards</t>
  </si>
  <si>
    <t>Wexler, Shaffer &amp; Cotgreave</t>
  </si>
  <si>
    <t>44 exemplos reais de dashboards com análise crítica de design.</t>
  </si>
  <si>
    <t>https://bigbookofdashboards.com/</t>
  </si>
  <si>
    <t>🌐 SQLBI</t>
  </si>
  <si>
    <t>Marco Russo &amp; Alberto Ferrari</t>
  </si>
  <si>
    <t>Referência máxima em DAX, modelagem e boas práticas Power BI.</t>
  </si>
  <si>
    <t>https://www.sqlbi.com/</t>
  </si>
  <si>
    <t>🌐 Microsoft Learn - Power BI Guidance</t>
  </si>
  <si>
    <t>Microsoft</t>
  </si>
  <si>
    <t>Documentação oficial com guias de performance, design e governança.</t>
  </si>
  <si>
    <t>https://learn.microsoft.com/en-us/power-bi/guidance/</t>
  </si>
  <si>
    <t>🌐 Numerro / Power BI Tips</t>
  </si>
  <si>
    <t>Numerro</t>
  </si>
  <si>
    <t>40+ dicas visuais para design de dashboards Power BI.</t>
  </si>
  <si>
    <t>GUIA DE USO DO CHECKLIST</t>
  </si>
  <si>
    <t>1️⃣ QUANDO USAR
Use este checklist em 3 momentos: durante o design (antes de entregar), na revisão com o cliente, e no handoff final do projeto.</t>
  </si>
  <si>
    <t>2️⃣ COMO PREENCHER
Clique na coluna STATUS e selecione no dropdown: Concluído, Não Atende, Pendente ou N/A. Os contadores no cabeçalho atualizam automaticamente.</t>
  </si>
  <si>
    <t>3️⃣ PRIORIZAÇÃO
Se o prazo é curto, priorize: Hierarquia Visual, Contexto e Acessibilidade. São as que mais impactam a experiência do usuário.</t>
  </si>
  <si>
    <t>4️⃣ LINKS DE REFERÊNCIA
Cada item tem um link clicável para aprofundamento. Use para estudar o conceito ou compartilhar com a equipe.</t>
  </si>
  <si>
    <t>6️⃣ CONTADORES
O cabeçalho mostra em tempo real: quantos itens estão Concluídos ✅, Pendentes ⏳ e Não Atendem ❌.</t>
  </si>
  <si>
    <t xml:space="preserve">5️⃣ PERSONALIZAÇÃO
Adicione itens específicos do seu projeto ou cliente.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</si>
</sst>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18"/>
      <color rgb="FFFFFFFF"/>
      <name val="Aptos"/>
      <charset val="1"/>
    </font>
    <font>
      <b/>
      <sz val="10"/>
      <color rgb="FF2C3E50"/>
      <name val="Aptos"/>
      <charset val="1"/>
    </font>
    <font>
      <b/>
      <sz val="11"/>
      <color rgb="FF1E8449"/>
      <name val="Aptos"/>
      <charset val="1"/>
    </font>
    <font>
      <b/>
      <sz val="11"/>
      <color rgb="FFE67E22"/>
      <name val="Aptos"/>
      <charset val="1"/>
    </font>
    <font>
      <b/>
      <sz val="11"/>
      <color rgb="FFC0392B"/>
      <name val="Aptos"/>
      <charset val="1"/>
    </font>
    <font>
      <b/>
      <sz val="9"/>
      <color rgb="FFFFFFFF"/>
      <name val="Aptos"/>
      <charset val="1"/>
    </font>
    <font>
      <sz val="9"/>
      <color rgb="FF5D6D7E"/>
      <name val="Aptos"/>
      <charset val="1"/>
    </font>
    <font>
      <b/>
      <sz val="9"/>
      <color rgb="FF1A5276"/>
      <name val="Aptos"/>
      <charset val="1"/>
    </font>
    <font>
      <i/>
      <sz val="9"/>
      <color rgb="FF5D6D7E"/>
      <name val="Aptos"/>
      <charset val="1"/>
    </font>
    <font>
      <sz val="9"/>
      <color rgb="FF2C3E50"/>
      <name val="Aptos"/>
      <charset val="1"/>
    </font>
    <font>
      <u/>
      <sz val="8"/>
      <color rgb="FF2E86C1"/>
      <name val="Aptos"/>
      <charset val="1"/>
    </font>
    <font>
      <b/>
      <sz val="9"/>
      <color rgb="FF6C3483"/>
      <name val="Aptos"/>
      <charset val="1"/>
    </font>
    <font>
      <b/>
      <sz val="9"/>
      <color rgb="FF1E8449"/>
      <name val="Aptos"/>
      <charset val="1"/>
    </font>
    <font>
      <b/>
      <sz val="9"/>
      <color rgb="FF2E86C1"/>
      <name val="Aptos"/>
      <charset val="1"/>
    </font>
    <font>
      <b/>
      <sz val="9"/>
      <color rgb="FFE67E22"/>
      <name val="Aptos"/>
      <charset val="1"/>
    </font>
    <font>
      <b/>
      <sz val="9"/>
      <color rgb="FFC0392B"/>
      <name val="Aptos"/>
      <charset val="1"/>
    </font>
    <font>
      <b/>
      <sz val="9"/>
      <color rgb="FF2C3E50"/>
      <name val="Aptos"/>
      <charset val="1"/>
    </font>
    <font>
      <b/>
      <sz val="9"/>
      <color rgb="FF7D3C98"/>
      <name val="Aptos"/>
      <charset val="1"/>
    </font>
    <font>
      <b/>
      <sz val="9"/>
      <color rgb="FF117A65"/>
      <name val="Aptos"/>
      <charset val="1"/>
    </font>
    <font>
      <b/>
      <sz val="9"/>
      <color rgb="FF1F618D"/>
      <name val="Aptos"/>
      <charset val="1"/>
    </font>
    <font>
      <b/>
      <sz val="12"/>
      <color rgb="FF1B2A4A"/>
      <name val="Aptos"/>
      <charset val="1"/>
    </font>
    <font>
      <b/>
      <sz val="16"/>
      <color rgb="FFFFFFFF"/>
      <name val="Aptos"/>
      <charset val="1"/>
    </font>
    <font>
      <sz val="10"/>
      <color rgb="FF2C3E50"/>
      <name val="Aptos"/>
      <charset val="1"/>
    </font>
  </fonts>
  <fills count="19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F8F9FA"/>
        <bgColor rgb="FFFFFFFF"/>
      </patternFill>
    </fill>
    <fill>
      <patternFill patternType="solid">
        <fgColor rgb="FFD5F5E3"/>
        <bgColor rgb="FFE8EAED"/>
      </patternFill>
    </fill>
    <fill>
      <patternFill patternType="solid">
        <fgColor rgb="FFFEF9E7"/>
        <bgColor rgb="FFF8F9FA"/>
      </patternFill>
    </fill>
    <fill>
      <patternFill patternType="solid">
        <fgColor rgb="FFFADBD8"/>
        <bgColor rgb="FFE8EAED"/>
      </patternFill>
    </fill>
    <fill>
      <patternFill patternType="solid">
        <fgColor rgb="FFFFFFFF"/>
        <bgColor rgb="FFF8F9FA"/>
      </patternFill>
    </fill>
    <fill>
      <patternFill patternType="solid">
        <fgColor rgb="FF1A5276"/>
        <bgColor rgb="FF1F618D"/>
      </patternFill>
    </fill>
    <fill>
      <patternFill patternType="solid">
        <fgColor rgb="FF6C3483"/>
        <bgColor rgb="FF7D3C98"/>
      </patternFill>
    </fill>
    <fill>
      <patternFill patternType="solid">
        <fgColor rgb="FF1E8449"/>
        <bgColor rgb="FF117A65"/>
      </patternFill>
    </fill>
    <fill>
      <patternFill patternType="solid">
        <fgColor rgb="FF2E86C1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7D3C98"/>
      </patternFill>
    </fill>
    <fill>
      <patternFill patternType="solid">
        <fgColor rgb="FF2C3E50"/>
        <bgColor rgb="FF1B2A4A"/>
      </patternFill>
    </fill>
    <fill>
      <patternFill patternType="solid">
        <fgColor rgb="FF7D3C98"/>
        <bgColor rgb="FF6C3483"/>
      </patternFill>
    </fill>
    <fill>
      <patternFill patternType="solid">
        <fgColor rgb="FF117A65"/>
        <bgColor rgb="FF008080"/>
      </patternFill>
    </fill>
    <fill>
      <patternFill patternType="solid">
        <fgColor rgb="FF1F618D"/>
        <bgColor rgb="FF1A5276"/>
      </patternFill>
    </fill>
    <fill>
      <patternFill patternType="solid">
        <fgColor rgb="FFE8EAED"/>
        <bgColor rgb="FFD5F5E3"/>
      </patternFill>
    </fill>
  </fills>
  <borders count="2">
    <border>
      <left/>
      <right/>
      <top/>
      <bottom/>
      <diagonal/>
    </border>
    <border>
      <left style="thin">
        <color rgb="FFE8EAED"/>
      </left>
      <right style="thin">
        <color rgb="FFE8EAED"/>
      </right>
      <top style="thin">
        <color rgb="FFE8EAED"/>
      </top>
      <bottom style="thin">
        <color rgb="FFE8EAED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16" borderId="0" xfId="0" applyFont="1" applyFill="1" applyBorder="1" applyAlignment="1">
      <alignment vertical="center"/>
    </xf>
    <xf numFmtId="0" fontId="6" fillId="15" borderId="0" xfId="0" applyFont="1" applyFill="1" applyBorder="1" applyAlignment="1">
      <alignment vertical="center"/>
    </xf>
    <xf numFmtId="0" fontId="6" fillId="14" borderId="0" xfId="0" applyFont="1" applyFill="1" applyBorder="1" applyAlignment="1">
      <alignment vertical="center"/>
    </xf>
    <xf numFmtId="0" fontId="6" fillId="13" borderId="0" xfId="0" applyFont="1" applyFill="1" applyBorder="1" applyAlignment="1">
      <alignment vertical="center"/>
    </xf>
    <xf numFmtId="0" fontId="6" fillId="12" borderId="0" xfId="0" applyFont="1" applyFill="1" applyBorder="1" applyAlignment="1">
      <alignment vertical="center"/>
    </xf>
    <xf numFmtId="0" fontId="6" fillId="11" borderId="0" xfId="0" applyFont="1" applyFill="1" applyBorder="1" applyAlignment="1">
      <alignment vertical="center"/>
    </xf>
    <xf numFmtId="0" fontId="6" fillId="10" borderId="0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6" fillId="8" borderId="0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7" borderId="0" xfId="0" applyFill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vertical="center" wrapText="1"/>
    </xf>
    <xf numFmtId="0" fontId="19" fillId="3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vertical="center" wrapText="1"/>
    </xf>
    <xf numFmtId="0" fontId="6" fillId="11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0" fillId="3" borderId="0" xfId="0" applyFill="1"/>
    <xf numFmtId="0" fontId="1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22" fillId="2" borderId="0" xfId="0" applyFont="1" applyFill="1" applyAlignment="1">
      <alignment horizontal="center" vertical="center"/>
    </xf>
    <xf numFmtId="0" fontId="23" fillId="3" borderId="0" xfId="0" applyFont="1" applyFill="1" applyAlignment="1">
      <alignment vertical="center" wrapText="1"/>
    </xf>
    <xf numFmtId="0" fontId="23" fillId="7" borderId="0" xfId="0" applyFont="1" applyFill="1" applyAlignment="1">
      <alignment vertical="center" wrapText="1"/>
    </xf>
    <xf numFmtId="0" fontId="6" fillId="17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vertical="center"/>
    </xf>
  </cellXfs>
  <cellStyles count="1">
    <cellStyle name="Normal" xfId="0" builtinId="0"/>
  </cellStyles>
  <dxfs count="4">
    <dxf>
      <font>
        <i/>
        <sz val="9"/>
        <color rgb="FF5D6D7E"/>
        <name val="Aptos"/>
        <charset val="1"/>
      </font>
      <fill>
        <patternFill>
          <bgColor rgb="FFE8EAED"/>
        </patternFill>
      </fill>
    </dxf>
    <dxf>
      <font>
        <sz val="9"/>
        <color rgb="FFE67E22"/>
        <name val="Aptos"/>
        <charset val="1"/>
      </font>
      <fill>
        <patternFill>
          <bgColor rgb="FFFEF9E7"/>
        </patternFill>
      </fill>
    </dxf>
    <dxf>
      <font>
        <b/>
        <sz val="9"/>
        <color rgb="FFC0392B"/>
        <name val="Aptos"/>
        <charset val="1"/>
      </font>
      <fill>
        <patternFill>
          <bgColor rgb="FFFADBD8"/>
        </patternFill>
      </fill>
    </dxf>
    <dxf>
      <font>
        <b/>
        <sz val="9"/>
        <color rgb="FF1E8449"/>
        <name val="Aptos"/>
        <charset val="1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C0C0C0"/>
      <rgbColor rgb="FF808080"/>
      <rgbColor rgb="FF9999FF"/>
      <rgbColor rgb="FF7D3C98"/>
      <rgbColor rgb="FFFEF9E7"/>
      <rgbColor rgb="FFE8EAED"/>
      <rgbColor rgb="FF660066"/>
      <rgbColor rgb="FFFF8080"/>
      <rgbColor rgb="FF1F618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5F5E3"/>
      <rgbColor rgb="FFFFFF99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E67E22"/>
      <rgbColor rgb="FF5D6D7E"/>
      <rgbColor rgb="FF969696"/>
      <rgbColor rgb="FF1B2A4A"/>
      <rgbColor rgb="FF1E8449"/>
      <rgbColor rgb="FF003300"/>
      <rgbColor rgb="FF333300"/>
      <rgbColor rgb="FFC0392B"/>
      <rgbColor rgb="FF6C3483"/>
      <rgbColor rgb="FF1A527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ngroup.com/articles/affordance-conventions/" TargetMode="External"/><Relationship Id="rId18" Type="http://schemas.openxmlformats.org/officeDocument/2006/relationships/hyperlink" Target="https://learn.microsoft.com/en-us/power-bi/create-reports/power-bi-create-mobile-optimized-report-best-practices" TargetMode="External"/><Relationship Id="rId26" Type="http://schemas.openxmlformats.org/officeDocument/2006/relationships/hyperlink" Target="https://learn.microsoft.com/en-us/power-bi/create-reports/power-bi-report-filter" TargetMode="External"/><Relationship Id="rId39" Type="http://schemas.openxmlformats.org/officeDocument/2006/relationships/hyperlink" Target="https://learn.microsoft.com/en-us/power-bi/transform-model/desktop-field-list" TargetMode="External"/><Relationship Id="rId3" Type="http://schemas.openxmlformats.org/officeDocument/2006/relationships/hyperlink" Target="https://playfairdata.com/applying-gestalt-principles-to-dashboard-design/" TargetMode="External"/><Relationship Id="rId21" Type="http://schemas.openxmlformats.org/officeDocument/2006/relationships/hyperlink" Target="https://learn.microsoft.com/en-us/power-bi/create-reports/service-dashboards-design-tips" TargetMode="External"/><Relationship Id="rId34" Type="http://schemas.openxmlformats.org/officeDocument/2006/relationships/hyperlink" Target="https://learn.microsoft.com/en-us/power-bi/guidance/report-performance-improve" TargetMode="External"/><Relationship Id="rId42" Type="http://schemas.openxmlformats.org/officeDocument/2006/relationships/hyperlink" Target="https://learn.microsoft.com/en-us/power-bi/guidance/powerbi-implementation-planning-workspaces-overview" TargetMode="External"/><Relationship Id="rId47" Type="http://schemas.openxmlformats.org/officeDocument/2006/relationships/hyperlink" Target="https://bigbookofdashboards.com/" TargetMode="External"/><Relationship Id="rId50" Type="http://schemas.openxmlformats.org/officeDocument/2006/relationships/hyperlink" Target="https://www.numerro.io/data-visualization-design-tips" TargetMode="External"/><Relationship Id="rId7" Type="http://schemas.openxmlformats.org/officeDocument/2006/relationships/hyperlink" Target="https://blog.datawrapper.de/colors-for-data-vis-style-guides/" TargetMode="External"/><Relationship Id="rId12" Type="http://schemas.openxmlformats.org/officeDocument/2006/relationships/hyperlink" Target="https://www.sqlbi.com/articles/numbers-are-useless-without-context/" TargetMode="External"/><Relationship Id="rId17" Type="http://schemas.openxmlformats.org/officeDocument/2006/relationships/hyperlink" Target="https://www.perceptualedge.com/articles/Whitepapers/Formatting_Numbers.pdf" TargetMode="External"/><Relationship Id="rId25" Type="http://schemas.openxmlformats.org/officeDocument/2006/relationships/hyperlink" Target="https://learn.microsoft.com/en-us/power-bi/create-reports/desktop-tooltips" TargetMode="External"/><Relationship Id="rId33" Type="http://schemas.openxmlformats.org/officeDocument/2006/relationships/hyperlink" Target="https://learn.microsoft.com/en-us/power-bi/guidance/report-performance-improve" TargetMode="External"/><Relationship Id="rId38" Type="http://schemas.openxmlformats.org/officeDocument/2006/relationships/hyperlink" Target="https://learn.microsoft.com/en-us/power-bi/guidance/report-performance-improve" TargetMode="External"/><Relationship Id="rId46" Type="http://schemas.openxmlformats.org/officeDocument/2006/relationships/hyperlink" Target="https://www.thefunctionalart.com/" TargetMode="External"/><Relationship Id="rId2" Type="http://schemas.openxmlformats.org/officeDocument/2006/relationships/hyperlink" Target="https://www.nngroup.com/articles/f-shaped-pattern-reading-web-content/" TargetMode="External"/><Relationship Id="rId16" Type="http://schemas.openxmlformats.org/officeDocument/2006/relationships/hyperlink" Target="https://learn.microsoft.com/en-us/power-bi/visuals/power-bi-visualization-best-practices" TargetMode="External"/><Relationship Id="rId20" Type="http://schemas.openxmlformats.org/officeDocument/2006/relationships/hyperlink" Target="https://www.color-blindness.com/coblis-color-blindness-simulator/" TargetMode="External"/><Relationship Id="rId29" Type="http://schemas.openxmlformats.org/officeDocument/2006/relationships/hyperlink" Target="https://learn.microsoft.com/en-us/power-bi/create-reports/power-bi-create-mobile-optimized-report-best-practices" TargetMode="External"/><Relationship Id="rId41" Type="http://schemas.openxmlformats.org/officeDocument/2006/relationships/hyperlink" Target="https://learn.microsoft.com/en-us/power-bi/enterprise/service-admin-rls" TargetMode="External"/><Relationship Id="rId1" Type="http://schemas.openxmlformats.org/officeDocument/2006/relationships/hyperlink" Target="https://usabilityhub.com/guides/five-second-testing" TargetMode="External"/><Relationship Id="rId6" Type="http://schemas.openxmlformats.org/officeDocument/2006/relationships/hyperlink" Target="https://www.holistics.io/blog/data-ink-ratio/" TargetMode="External"/><Relationship Id="rId11" Type="http://schemas.openxmlformats.org/officeDocument/2006/relationships/hyperlink" Target="https://www.storytellingwithdata.com/blog/2017/3/29/declutter-this-graph" TargetMode="External"/><Relationship Id="rId24" Type="http://schemas.openxmlformats.org/officeDocument/2006/relationships/hyperlink" Target="https://learn.microsoft.com/en-us/power-bi/create-reports/desktop-accessibility-creating-reports" TargetMode="External"/><Relationship Id="rId32" Type="http://schemas.openxmlformats.org/officeDocument/2006/relationships/hyperlink" Target="https://learn.microsoft.com/en-us/power-bi/create-reports/desktop-performance-analyzer" TargetMode="External"/><Relationship Id="rId37" Type="http://schemas.openxmlformats.org/officeDocument/2006/relationships/hyperlink" Target="https://www.sqlbi.com/articles/naming-best-practices/" TargetMode="External"/><Relationship Id="rId40" Type="http://schemas.openxmlformats.org/officeDocument/2006/relationships/hyperlink" Target="https://learn.microsoft.com/en-us/power-bi/guidance/star-schema" TargetMode="External"/><Relationship Id="rId45" Type="http://schemas.openxmlformats.org/officeDocument/2006/relationships/hyperlink" Target="https://www.perceptualedge.com/" TargetMode="External"/><Relationship Id="rId5" Type="http://schemas.openxmlformats.org/officeDocument/2006/relationships/hyperlink" Target="https://www.aufaitux.com/blog/power-bi-ux-storyboarding-best-practices/" TargetMode="External"/><Relationship Id="rId15" Type="http://schemas.openxmlformats.org/officeDocument/2006/relationships/hyperlink" Target="https://www.data-to-viz.com/" TargetMode="External"/><Relationship Id="rId23" Type="http://schemas.openxmlformats.org/officeDocument/2006/relationships/hyperlink" Target="https://www.w3.org/WAI/WCAG21/Understanding/non-text-contrast.html" TargetMode="External"/><Relationship Id="rId28" Type="http://schemas.openxmlformats.org/officeDocument/2006/relationships/hyperlink" Target="https://learn.microsoft.com/en-us/power-bi/create-reports/button-navigators" TargetMode="External"/><Relationship Id="rId36" Type="http://schemas.openxmlformats.org/officeDocument/2006/relationships/hyperlink" Target="https://data-mozart.com/power-bi-documentation-best-practices/" TargetMode="External"/><Relationship Id="rId49" Type="http://schemas.openxmlformats.org/officeDocument/2006/relationships/hyperlink" Target="https://learn.microsoft.com/en-us/power-bi/guidance/" TargetMode="External"/><Relationship Id="rId10" Type="http://schemas.openxmlformats.org/officeDocument/2006/relationships/hyperlink" Target="https://thedoublethink.com/tuftes-principles-for-visualizing-quantitative-information/" TargetMode="External"/><Relationship Id="rId19" Type="http://schemas.openxmlformats.org/officeDocument/2006/relationships/hyperlink" Target="https://www.numerro.io/data-visualization-design-tips" TargetMode="External"/><Relationship Id="rId31" Type="http://schemas.openxmlformats.org/officeDocument/2006/relationships/hyperlink" Target="https://learn.microsoft.com/en-us/power-bi/create-reports/power-bi-create-mobile-optimized-report-mobile-layout-view" TargetMode="External"/><Relationship Id="rId44" Type="http://schemas.openxmlformats.org/officeDocument/2006/relationships/hyperlink" Target="https://www.edwardtufte.com/tufte/books_vdqi" TargetMode="External"/><Relationship Id="rId4" Type="http://schemas.openxmlformats.org/officeDocument/2006/relationships/hyperlink" Target="https://learn.microsoft.com/en-us/power-bi/create-reports/service-dashboards-design-tips" TargetMode="External"/><Relationship Id="rId9" Type="http://schemas.openxmlformats.org/officeDocument/2006/relationships/hyperlink" Target="https://learn.microsoft.com/en-us/power-bi/guidance/report-page-tooltips" TargetMode="External"/><Relationship Id="rId14" Type="http://schemas.openxmlformats.org/officeDocument/2006/relationships/hyperlink" Target="https://funnel.io/blog/bi-dashboards" TargetMode="External"/><Relationship Id="rId22" Type="http://schemas.openxmlformats.org/officeDocument/2006/relationships/hyperlink" Target="https://webaim.org/resources/contrastchecker/" TargetMode="External"/><Relationship Id="rId27" Type="http://schemas.openxmlformats.org/officeDocument/2006/relationships/hyperlink" Target="https://learn.microsoft.com/en-us/power-bi/create-reports/service-reports-visual-interactions" TargetMode="External"/><Relationship Id="rId30" Type="http://schemas.openxmlformats.org/officeDocument/2006/relationships/hyperlink" Target="https://learn.microsoft.com/en-us/power-bi/create-reports/power-bi-create-mobile-optimized-report-format-visuals" TargetMode="External"/><Relationship Id="rId35" Type="http://schemas.openxmlformats.org/officeDocument/2006/relationships/hyperlink" Target="https://www.sqlbi.com/articles/optimizing-dax/" TargetMode="External"/><Relationship Id="rId43" Type="http://schemas.openxmlformats.org/officeDocument/2006/relationships/hyperlink" Target="https://www.storytellingwithdata.com/" TargetMode="External"/><Relationship Id="rId48" Type="http://schemas.openxmlformats.org/officeDocument/2006/relationships/hyperlink" Target="https://www.sqlbi.com/" TargetMode="External"/><Relationship Id="rId8" Type="http://schemas.openxmlformats.org/officeDocument/2006/relationships/hyperlink" Target="https://www.numerro.io/data-visualization-design-ti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1"/>
  <sheetViews>
    <sheetView showGridLines="0" tabSelected="1" zoomScaleNormal="100" workbookViewId="0">
      <pane ySplit="5" topLeftCell="A6" activePane="bottomLeft" state="frozen"/>
      <selection pane="bottomLeft" activeCell="D10" sqref="D10"/>
    </sheetView>
  </sheetViews>
  <sheetFormatPr defaultColWidth="0" defaultRowHeight="15" zeroHeight="1"/>
  <cols>
    <col min="1" max="1" width="5" customWidth="1"/>
    <col min="2" max="2" width="35" customWidth="1"/>
    <col min="3" max="3" width="28" customWidth="1"/>
    <col min="4" max="4" width="70" customWidth="1"/>
    <col min="5" max="5" width="55" customWidth="1"/>
    <col min="6" max="6" width="12" customWidth="1"/>
    <col min="7" max="16384" width="8.7109375" hidden="1"/>
  </cols>
  <sheetData>
    <row r="1" spans="1:6" ht="49.5" customHeight="1">
      <c r="A1" s="14" t="s">
        <v>0</v>
      </c>
      <c r="B1" s="14"/>
      <c r="C1" s="14"/>
      <c r="D1" s="14"/>
      <c r="E1" s="14"/>
      <c r="F1" s="14"/>
    </row>
    <row r="2" spans="1:6" ht="30" customHeight="1">
      <c r="A2" s="13" t="s">
        <v>1</v>
      </c>
      <c r="B2" s="13"/>
      <c r="C2" s="13" t="s">
        <v>2</v>
      </c>
      <c r="D2" s="13"/>
      <c r="E2" s="13" t="s">
        <v>3</v>
      </c>
      <c r="F2" s="13"/>
    </row>
    <row r="3" spans="1:6" ht="36" customHeight="1">
      <c r="A3" s="12" t="str">
        <f>"✅ " &amp; COUNTIF(F7:F57,"Concluído") &amp; "/42 Concluídos"</f>
        <v>✅ 0/42 Concluídos</v>
      </c>
      <c r="B3" s="12"/>
      <c r="C3" s="11" t="str">
        <f>"⏳ " &amp; COUNTIF(F7:F57,"Pendente") &amp; "/42 Pendentes"</f>
        <v>⏳ 42/42 Pendentes</v>
      </c>
      <c r="D3" s="11"/>
      <c r="E3" s="10" t="str">
        <f>"❌ " &amp; COUNTIF(F7:F57,"Não Atende") &amp; "/42 Não Atendem"</f>
        <v>❌ 0/42 Não Atendem</v>
      </c>
      <c r="F3" s="10"/>
    </row>
    <row r="4" spans="1:6" ht="6" customHeight="1">
      <c r="A4" s="15"/>
      <c r="B4" s="15"/>
      <c r="C4" s="15"/>
      <c r="D4" s="15"/>
      <c r="E4" s="15"/>
      <c r="F4" s="15"/>
    </row>
    <row r="5" spans="1:6" ht="31.5" customHeight="1">
      <c r="A5" s="16" t="s">
        <v>4</v>
      </c>
      <c r="B5" s="16" t="s">
        <v>5</v>
      </c>
      <c r="C5" s="16" t="s">
        <v>6</v>
      </c>
      <c r="D5" s="16" t="s">
        <v>7</v>
      </c>
      <c r="E5" s="16" t="s">
        <v>8</v>
      </c>
      <c r="F5" s="16" t="s">
        <v>9</v>
      </c>
    </row>
    <row r="6" spans="1:6" ht="25.5" customHeight="1">
      <c r="A6" s="9" t="s">
        <v>10</v>
      </c>
      <c r="B6" s="9"/>
      <c r="C6" s="9"/>
      <c r="D6" s="9"/>
      <c r="E6" s="9"/>
      <c r="F6" s="9"/>
    </row>
    <row r="7" spans="1:6" ht="51.75" customHeight="1">
      <c r="A7" s="17">
        <v>1</v>
      </c>
      <c r="B7" s="18" t="s">
        <v>11</v>
      </c>
      <c r="C7" s="19" t="s">
        <v>12</v>
      </c>
      <c r="D7" s="20" t="s">
        <v>13</v>
      </c>
      <c r="E7" s="21" t="s">
        <v>14</v>
      </c>
      <c r="F7" s="17" t="s">
        <v>15</v>
      </c>
    </row>
    <row r="8" spans="1:6" ht="51.75" customHeight="1">
      <c r="A8" s="22">
        <v>2</v>
      </c>
      <c r="B8" s="23" t="s">
        <v>11</v>
      </c>
      <c r="C8" s="24" t="s">
        <v>16</v>
      </c>
      <c r="D8" s="25" t="s">
        <v>17</v>
      </c>
      <c r="E8" s="26" t="s">
        <v>18</v>
      </c>
      <c r="F8" s="22" t="s">
        <v>15</v>
      </c>
    </row>
    <row r="9" spans="1:6" ht="51.75" customHeight="1">
      <c r="A9" s="17">
        <v>3</v>
      </c>
      <c r="B9" s="18" t="s">
        <v>11</v>
      </c>
      <c r="C9" s="19" t="s">
        <v>19</v>
      </c>
      <c r="D9" s="20" t="s">
        <v>20</v>
      </c>
      <c r="E9" s="21" t="s">
        <v>21</v>
      </c>
      <c r="F9" s="17" t="s">
        <v>15</v>
      </c>
    </row>
    <row r="10" spans="1:6" ht="51.75" customHeight="1">
      <c r="A10" s="22">
        <v>4</v>
      </c>
      <c r="B10" s="23" t="s">
        <v>11</v>
      </c>
      <c r="C10" s="24" t="s">
        <v>22</v>
      </c>
      <c r="D10" s="25" t="s">
        <v>23</v>
      </c>
      <c r="E10" s="26" t="s">
        <v>24</v>
      </c>
      <c r="F10" s="22" t="s">
        <v>15</v>
      </c>
    </row>
    <row r="11" spans="1:6" ht="51.75" customHeight="1">
      <c r="A11" s="17">
        <v>5</v>
      </c>
      <c r="B11" s="18" t="s">
        <v>11</v>
      </c>
      <c r="C11" s="19" t="s">
        <v>25</v>
      </c>
      <c r="D11" s="20" t="s">
        <v>26</v>
      </c>
      <c r="E11" s="21" t="s">
        <v>27</v>
      </c>
      <c r="F11" s="17" t="s">
        <v>15</v>
      </c>
    </row>
    <row r="12" spans="1:6" ht="25.5" customHeight="1">
      <c r="A12" s="8" t="s">
        <v>28</v>
      </c>
      <c r="B12" s="8"/>
      <c r="C12" s="8"/>
      <c r="D12" s="8"/>
      <c r="E12" s="8"/>
      <c r="F12" s="8"/>
    </row>
    <row r="13" spans="1:6" ht="51.75" customHeight="1">
      <c r="A13" s="22">
        <v>6</v>
      </c>
      <c r="B13" s="27" t="s">
        <v>29</v>
      </c>
      <c r="C13" s="24" t="s">
        <v>30</v>
      </c>
      <c r="D13" s="25" t="s">
        <v>31</v>
      </c>
      <c r="E13" s="26" t="s">
        <v>32</v>
      </c>
      <c r="F13" s="22" t="s">
        <v>15</v>
      </c>
    </row>
    <row r="14" spans="1:6" ht="51.75" customHeight="1">
      <c r="A14" s="17">
        <v>7</v>
      </c>
      <c r="B14" s="28" t="s">
        <v>29</v>
      </c>
      <c r="C14" s="19" t="s">
        <v>33</v>
      </c>
      <c r="D14" s="20" t="s">
        <v>34</v>
      </c>
      <c r="E14" s="21" t="s">
        <v>35</v>
      </c>
      <c r="F14" s="17" t="s">
        <v>15</v>
      </c>
    </row>
    <row r="15" spans="1:6" ht="51.75" customHeight="1">
      <c r="A15" s="22">
        <v>8</v>
      </c>
      <c r="B15" s="27" t="s">
        <v>29</v>
      </c>
      <c r="C15" s="24" t="s">
        <v>36</v>
      </c>
      <c r="D15" s="25" t="s">
        <v>37</v>
      </c>
      <c r="E15" s="26" t="s">
        <v>38</v>
      </c>
      <c r="F15" s="22" t="s">
        <v>15</v>
      </c>
    </row>
    <row r="16" spans="1:6" ht="51.75" customHeight="1">
      <c r="A16" s="17">
        <v>9</v>
      </c>
      <c r="B16" s="28" t="s">
        <v>29</v>
      </c>
      <c r="C16" s="19" t="s">
        <v>39</v>
      </c>
      <c r="D16" s="20" t="s">
        <v>40</v>
      </c>
      <c r="E16" s="21" t="s">
        <v>41</v>
      </c>
      <c r="F16" s="17" t="s">
        <v>15</v>
      </c>
    </row>
    <row r="17" spans="1:6" ht="51.75" customHeight="1">
      <c r="A17" s="22">
        <v>10</v>
      </c>
      <c r="B17" s="27" t="s">
        <v>29</v>
      </c>
      <c r="C17" s="24" t="s">
        <v>42</v>
      </c>
      <c r="D17" s="25" t="s">
        <v>43</v>
      </c>
      <c r="E17" s="26" t="s">
        <v>44</v>
      </c>
      <c r="F17" s="22" t="s">
        <v>15</v>
      </c>
    </row>
    <row r="18" spans="1:6" ht="25.5" customHeight="1">
      <c r="A18" s="7" t="s">
        <v>45</v>
      </c>
      <c r="B18" s="7"/>
      <c r="C18" s="7"/>
      <c r="D18" s="7"/>
      <c r="E18" s="7"/>
      <c r="F18" s="7"/>
    </row>
    <row r="19" spans="1:6" ht="51.75" customHeight="1">
      <c r="A19" s="17">
        <v>11</v>
      </c>
      <c r="B19" s="29" t="s">
        <v>46</v>
      </c>
      <c r="C19" s="19" t="s">
        <v>47</v>
      </c>
      <c r="D19" s="20" t="s">
        <v>48</v>
      </c>
      <c r="E19" s="21" t="s">
        <v>49</v>
      </c>
      <c r="F19" s="17" t="s">
        <v>15</v>
      </c>
    </row>
    <row r="20" spans="1:6" ht="51.75" customHeight="1">
      <c r="A20" s="22">
        <v>12</v>
      </c>
      <c r="B20" s="30" t="s">
        <v>46</v>
      </c>
      <c r="C20" s="24" t="s">
        <v>50</v>
      </c>
      <c r="D20" s="25" t="s">
        <v>51</v>
      </c>
      <c r="E20" s="26" t="s">
        <v>52</v>
      </c>
      <c r="F20" s="22" t="s">
        <v>15</v>
      </c>
    </row>
    <row r="21" spans="1:6" ht="51.75" customHeight="1">
      <c r="A21" s="17">
        <v>13</v>
      </c>
      <c r="B21" s="29" t="s">
        <v>46</v>
      </c>
      <c r="C21" s="19" t="s">
        <v>53</v>
      </c>
      <c r="D21" s="20" t="s">
        <v>54</v>
      </c>
      <c r="E21" s="21" t="s">
        <v>55</v>
      </c>
      <c r="F21" s="17" t="s">
        <v>15</v>
      </c>
    </row>
    <row r="22" spans="1:6" ht="51.75" customHeight="1">
      <c r="A22" s="22">
        <v>14</v>
      </c>
      <c r="B22" s="30" t="s">
        <v>46</v>
      </c>
      <c r="C22" s="24" t="s">
        <v>56</v>
      </c>
      <c r="D22" s="25" t="s">
        <v>57</v>
      </c>
      <c r="E22" s="26" t="s">
        <v>58</v>
      </c>
      <c r="F22" s="22" t="s">
        <v>15</v>
      </c>
    </row>
    <row r="23" spans="1:6" ht="51.75" customHeight="1">
      <c r="A23" s="17">
        <v>15</v>
      </c>
      <c r="B23" s="29" t="s">
        <v>46</v>
      </c>
      <c r="C23" s="19" t="s">
        <v>59</v>
      </c>
      <c r="D23" s="20" t="s">
        <v>60</v>
      </c>
      <c r="E23" s="21" t="s">
        <v>61</v>
      </c>
      <c r="F23" s="17" t="s">
        <v>15</v>
      </c>
    </row>
    <row r="24" spans="1:6" ht="25.5" customHeight="1">
      <c r="A24" s="6" t="s">
        <v>62</v>
      </c>
      <c r="B24" s="6"/>
      <c r="C24" s="6"/>
      <c r="D24" s="6"/>
      <c r="E24" s="6"/>
      <c r="F24" s="6"/>
    </row>
    <row r="25" spans="1:6" ht="51.75" customHeight="1">
      <c r="A25" s="22">
        <v>16</v>
      </c>
      <c r="B25" s="31" t="s">
        <v>63</v>
      </c>
      <c r="C25" s="24" t="s">
        <v>64</v>
      </c>
      <c r="D25" s="25" t="s">
        <v>65</v>
      </c>
      <c r="E25" s="26" t="s">
        <v>66</v>
      </c>
      <c r="F25" s="22" t="s">
        <v>15</v>
      </c>
    </row>
    <row r="26" spans="1:6" ht="51.75" customHeight="1">
      <c r="A26" s="17">
        <v>17</v>
      </c>
      <c r="B26" s="32" t="s">
        <v>63</v>
      </c>
      <c r="C26" s="19" t="s">
        <v>67</v>
      </c>
      <c r="D26" s="20" t="s">
        <v>68</v>
      </c>
      <c r="E26" s="21" t="s">
        <v>69</v>
      </c>
      <c r="F26" s="17" t="s">
        <v>15</v>
      </c>
    </row>
    <row r="27" spans="1:6" ht="51.75" customHeight="1">
      <c r="A27" s="22">
        <v>18</v>
      </c>
      <c r="B27" s="31" t="s">
        <v>63</v>
      </c>
      <c r="C27" s="24" t="s">
        <v>70</v>
      </c>
      <c r="D27" s="25" t="s">
        <v>71</v>
      </c>
      <c r="E27" s="26" t="s">
        <v>72</v>
      </c>
      <c r="F27" s="22" t="s">
        <v>15</v>
      </c>
    </row>
    <row r="28" spans="1:6" ht="51.75" customHeight="1">
      <c r="A28" s="17">
        <v>19</v>
      </c>
      <c r="B28" s="32" t="s">
        <v>63</v>
      </c>
      <c r="C28" s="19" t="s">
        <v>73</v>
      </c>
      <c r="D28" s="20" t="s">
        <v>74</v>
      </c>
      <c r="E28" s="21" t="s">
        <v>38</v>
      </c>
      <c r="F28" s="17" t="s">
        <v>15</v>
      </c>
    </row>
    <row r="29" spans="1:6" ht="25.5" customHeight="1">
      <c r="A29" s="5" t="s">
        <v>75</v>
      </c>
      <c r="B29" s="5"/>
      <c r="C29" s="5"/>
      <c r="D29" s="5"/>
      <c r="E29" s="5"/>
      <c r="F29" s="5"/>
    </row>
    <row r="30" spans="1:6" ht="51.75" customHeight="1">
      <c r="A30" s="22">
        <v>20</v>
      </c>
      <c r="B30" s="33" t="s">
        <v>76</v>
      </c>
      <c r="C30" s="24" t="s">
        <v>77</v>
      </c>
      <c r="D30" s="25" t="s">
        <v>78</v>
      </c>
      <c r="E30" s="26" t="s">
        <v>79</v>
      </c>
      <c r="F30" s="22" t="s">
        <v>15</v>
      </c>
    </row>
    <row r="31" spans="1:6" ht="51.75" customHeight="1">
      <c r="A31" s="17">
        <v>21</v>
      </c>
      <c r="B31" s="34" t="s">
        <v>76</v>
      </c>
      <c r="C31" s="19" t="s">
        <v>80</v>
      </c>
      <c r="D31" s="20" t="s">
        <v>81</v>
      </c>
      <c r="E31" s="21" t="s">
        <v>24</v>
      </c>
      <c r="F31" s="17" t="s">
        <v>15</v>
      </c>
    </row>
    <row r="32" spans="1:6" ht="51.75" customHeight="1">
      <c r="A32" s="22">
        <v>22</v>
      </c>
      <c r="B32" s="33" t="s">
        <v>76</v>
      </c>
      <c r="C32" s="24" t="s">
        <v>82</v>
      </c>
      <c r="D32" s="25" t="s">
        <v>83</v>
      </c>
      <c r="E32" s="26" t="s">
        <v>84</v>
      </c>
      <c r="F32" s="22" t="s">
        <v>15</v>
      </c>
    </row>
    <row r="33" spans="1:6" ht="51.75" customHeight="1">
      <c r="A33" s="17">
        <v>23</v>
      </c>
      <c r="B33" s="34" t="s">
        <v>76</v>
      </c>
      <c r="C33" s="19" t="s">
        <v>85</v>
      </c>
      <c r="D33" s="20" t="s">
        <v>86</v>
      </c>
      <c r="E33" s="21" t="s">
        <v>87</v>
      </c>
      <c r="F33" s="17" t="s">
        <v>15</v>
      </c>
    </row>
    <row r="34" spans="1:6" ht="51.75" customHeight="1">
      <c r="A34" s="22">
        <v>24</v>
      </c>
      <c r="B34" s="33" t="s">
        <v>76</v>
      </c>
      <c r="C34" s="24" t="s">
        <v>88</v>
      </c>
      <c r="D34" s="25" t="s">
        <v>89</v>
      </c>
      <c r="E34" s="26" t="s">
        <v>90</v>
      </c>
      <c r="F34" s="22" t="s">
        <v>15</v>
      </c>
    </row>
    <row r="35" spans="1:6" ht="25.5" customHeight="1">
      <c r="A35" s="4" t="s">
        <v>91</v>
      </c>
      <c r="B35" s="4"/>
      <c r="C35" s="4"/>
      <c r="D35" s="4"/>
      <c r="E35" s="4"/>
      <c r="F35" s="4"/>
    </row>
    <row r="36" spans="1:6" ht="51.75" customHeight="1">
      <c r="A36" s="17">
        <v>25</v>
      </c>
      <c r="B36" s="35" t="s">
        <v>92</v>
      </c>
      <c r="C36" s="19" t="s">
        <v>93</v>
      </c>
      <c r="D36" s="20" t="s">
        <v>94</v>
      </c>
      <c r="E36" s="21" t="s">
        <v>95</v>
      </c>
      <c r="F36" s="17" t="s">
        <v>15</v>
      </c>
    </row>
    <row r="37" spans="1:6" ht="51.75" customHeight="1">
      <c r="A37" s="22">
        <v>26</v>
      </c>
      <c r="B37" s="36" t="s">
        <v>92</v>
      </c>
      <c r="C37" s="24" t="s">
        <v>96</v>
      </c>
      <c r="D37" s="25" t="s">
        <v>97</v>
      </c>
      <c r="E37" s="26" t="s">
        <v>98</v>
      </c>
      <c r="F37" s="22" t="s">
        <v>15</v>
      </c>
    </row>
    <row r="38" spans="1:6" ht="51.75" customHeight="1">
      <c r="A38" s="17">
        <v>27</v>
      </c>
      <c r="B38" s="35" t="s">
        <v>92</v>
      </c>
      <c r="C38" s="19" t="s">
        <v>99</v>
      </c>
      <c r="D38" s="20" t="s">
        <v>100</v>
      </c>
      <c r="E38" s="21" t="s">
        <v>101</v>
      </c>
      <c r="F38" s="17" t="s">
        <v>15</v>
      </c>
    </row>
    <row r="39" spans="1:6" ht="51.75" customHeight="1">
      <c r="A39" s="22">
        <v>28</v>
      </c>
      <c r="B39" s="36" t="s">
        <v>92</v>
      </c>
      <c r="C39" s="24" t="s">
        <v>102</v>
      </c>
      <c r="D39" s="25" t="s">
        <v>103</v>
      </c>
      <c r="E39" s="26" t="s">
        <v>104</v>
      </c>
      <c r="F39" s="22" t="s">
        <v>15</v>
      </c>
    </row>
    <row r="40" spans="1:6" ht="25.5" customHeight="1">
      <c r="A40" s="3" t="s">
        <v>105</v>
      </c>
      <c r="B40" s="3"/>
      <c r="C40" s="3"/>
      <c r="D40" s="3"/>
      <c r="E40" s="3"/>
      <c r="F40" s="3"/>
    </row>
    <row r="41" spans="1:6" ht="51.75" customHeight="1">
      <c r="A41" s="17">
        <v>29</v>
      </c>
      <c r="B41" s="37" t="s">
        <v>106</v>
      </c>
      <c r="C41" s="19" t="s">
        <v>107</v>
      </c>
      <c r="D41" s="20" t="s">
        <v>108</v>
      </c>
      <c r="E41" s="21" t="s">
        <v>72</v>
      </c>
      <c r="F41" s="17" t="s">
        <v>15</v>
      </c>
    </row>
    <row r="42" spans="1:6" ht="51.75" customHeight="1">
      <c r="A42" s="22">
        <v>30</v>
      </c>
      <c r="B42" s="38" t="s">
        <v>106</v>
      </c>
      <c r="C42" s="24" t="s">
        <v>109</v>
      </c>
      <c r="D42" s="25" t="s">
        <v>110</v>
      </c>
      <c r="E42" s="26" t="s">
        <v>111</v>
      </c>
      <c r="F42" s="22" t="s">
        <v>15</v>
      </c>
    </row>
    <row r="43" spans="1:6" ht="51.75" customHeight="1">
      <c r="A43" s="17">
        <v>31</v>
      </c>
      <c r="B43" s="37" t="s">
        <v>106</v>
      </c>
      <c r="C43" s="19" t="s">
        <v>112</v>
      </c>
      <c r="D43" s="20" t="s">
        <v>113</v>
      </c>
      <c r="E43" s="21" t="s">
        <v>114</v>
      </c>
      <c r="F43" s="17" t="s">
        <v>15</v>
      </c>
    </row>
    <row r="44" spans="1:6" ht="25.5" customHeight="1">
      <c r="A44" s="2" t="s">
        <v>115</v>
      </c>
      <c r="B44" s="2"/>
      <c r="C44" s="2"/>
      <c r="D44" s="2"/>
      <c r="E44" s="2"/>
      <c r="F44" s="2"/>
    </row>
    <row r="45" spans="1:6" ht="51.75" customHeight="1">
      <c r="A45" s="22">
        <v>32</v>
      </c>
      <c r="B45" s="39" t="s">
        <v>116</v>
      </c>
      <c r="C45" s="24" t="s">
        <v>117</v>
      </c>
      <c r="D45" s="25" t="s">
        <v>118</v>
      </c>
      <c r="E45" s="26" t="s">
        <v>119</v>
      </c>
      <c r="F45" s="22" t="s">
        <v>15</v>
      </c>
    </row>
    <row r="46" spans="1:6" ht="51.75" customHeight="1">
      <c r="A46" s="17">
        <v>33</v>
      </c>
      <c r="B46" s="40" t="s">
        <v>116</v>
      </c>
      <c r="C46" s="19" t="s">
        <v>120</v>
      </c>
      <c r="D46" s="20" t="s">
        <v>121</v>
      </c>
      <c r="E46" s="21" t="s">
        <v>122</v>
      </c>
      <c r="F46" s="17" t="s">
        <v>15</v>
      </c>
    </row>
    <row r="47" spans="1:6" ht="51.75" customHeight="1">
      <c r="A47" s="22">
        <v>34</v>
      </c>
      <c r="B47" s="39" t="s">
        <v>116</v>
      </c>
      <c r="C47" s="24" t="s">
        <v>123</v>
      </c>
      <c r="D47" s="25" t="s">
        <v>124</v>
      </c>
      <c r="E47" s="26" t="s">
        <v>122</v>
      </c>
      <c r="F47" s="22" t="s">
        <v>15</v>
      </c>
    </row>
    <row r="48" spans="1:6" ht="51.75" customHeight="1">
      <c r="A48" s="17">
        <v>35</v>
      </c>
      <c r="B48" s="40" t="s">
        <v>116</v>
      </c>
      <c r="C48" s="19" t="s">
        <v>125</v>
      </c>
      <c r="D48" s="20" t="s">
        <v>126</v>
      </c>
      <c r="E48" s="21" t="s">
        <v>127</v>
      </c>
      <c r="F48" s="17" t="s">
        <v>15</v>
      </c>
    </row>
    <row r="49" spans="1:6" ht="25.5" customHeight="1">
      <c r="A49" s="1" t="s">
        <v>128</v>
      </c>
      <c r="B49" s="1"/>
      <c r="C49" s="1"/>
      <c r="D49" s="1"/>
      <c r="E49" s="1"/>
      <c r="F49" s="1"/>
    </row>
    <row r="50" spans="1:6" ht="51.75" customHeight="1">
      <c r="A50" s="22">
        <v>36</v>
      </c>
      <c r="B50" s="41" t="s">
        <v>129</v>
      </c>
      <c r="C50" s="24" t="s">
        <v>130</v>
      </c>
      <c r="D50" s="25" t="s">
        <v>131</v>
      </c>
      <c r="E50" s="26" t="s">
        <v>132</v>
      </c>
      <c r="F50" s="22" t="s">
        <v>15</v>
      </c>
    </row>
    <row r="51" spans="1:6" ht="51.75" customHeight="1">
      <c r="A51" s="17">
        <v>37</v>
      </c>
      <c r="B51" s="42" t="s">
        <v>129</v>
      </c>
      <c r="C51" s="19" t="s">
        <v>133</v>
      </c>
      <c r="D51" s="20" t="s">
        <v>134</v>
      </c>
      <c r="E51" s="21" t="s">
        <v>135</v>
      </c>
      <c r="F51" s="17" t="s">
        <v>15</v>
      </c>
    </row>
    <row r="52" spans="1:6" ht="51.75" customHeight="1">
      <c r="A52" s="22">
        <v>38</v>
      </c>
      <c r="B52" s="41" t="s">
        <v>129</v>
      </c>
      <c r="C52" s="24" t="s">
        <v>136</v>
      </c>
      <c r="D52" s="25" t="s">
        <v>137</v>
      </c>
      <c r="E52" s="26" t="s">
        <v>122</v>
      </c>
      <c r="F52" s="22" t="s">
        <v>15</v>
      </c>
    </row>
    <row r="53" spans="1:6" ht="51.75" customHeight="1">
      <c r="A53" s="17">
        <v>39</v>
      </c>
      <c r="B53" s="42" t="s">
        <v>129</v>
      </c>
      <c r="C53" s="19" t="s">
        <v>138</v>
      </c>
      <c r="D53" s="20" t="s">
        <v>139</v>
      </c>
      <c r="E53" s="21" t="s">
        <v>140</v>
      </c>
      <c r="F53" s="17" t="s">
        <v>15</v>
      </c>
    </row>
    <row r="54" spans="1:6" ht="25.5" customHeight="1">
      <c r="A54" s="58" t="s">
        <v>141</v>
      </c>
      <c r="B54" s="58"/>
      <c r="C54" s="58"/>
      <c r="D54" s="58"/>
      <c r="E54" s="58"/>
      <c r="F54" s="58"/>
    </row>
    <row r="55" spans="1:6" ht="51.75" customHeight="1">
      <c r="A55" s="22">
        <v>40</v>
      </c>
      <c r="B55" s="43" t="s">
        <v>142</v>
      </c>
      <c r="C55" s="24" t="s">
        <v>143</v>
      </c>
      <c r="D55" s="25" t="s">
        <v>144</v>
      </c>
      <c r="E55" s="26" t="s">
        <v>145</v>
      </c>
      <c r="F55" s="22" t="s">
        <v>15</v>
      </c>
    </row>
    <row r="56" spans="1:6" ht="51.75" customHeight="1">
      <c r="A56" s="17">
        <v>41</v>
      </c>
      <c r="B56" s="44" t="s">
        <v>142</v>
      </c>
      <c r="C56" s="19" t="s">
        <v>146</v>
      </c>
      <c r="D56" s="20" t="s">
        <v>147</v>
      </c>
      <c r="E56" s="21" t="s">
        <v>148</v>
      </c>
      <c r="F56" s="17" t="s">
        <v>15</v>
      </c>
    </row>
    <row r="57" spans="1:6" ht="51.75" customHeight="1">
      <c r="A57" s="22">
        <v>42</v>
      </c>
      <c r="B57" s="43" t="s">
        <v>142</v>
      </c>
      <c r="C57" s="24" t="s">
        <v>149</v>
      </c>
      <c r="D57" s="25" t="s">
        <v>150</v>
      </c>
      <c r="E57" s="26" t="s">
        <v>151</v>
      </c>
      <c r="F57" s="22" t="s">
        <v>15</v>
      </c>
    </row>
    <row r="58" spans="1:6"/>
    <row r="59" spans="1:6" ht="27.75" customHeight="1">
      <c r="A59" s="59" t="s">
        <v>152</v>
      </c>
      <c r="B59" s="59"/>
      <c r="C59" s="59"/>
      <c r="D59" s="59"/>
      <c r="E59" s="59"/>
      <c r="F59" s="59"/>
    </row>
    <row r="60" spans="1:6"/>
    <row r="61" spans="1:6" ht="30" customHeight="1">
      <c r="A61" s="60" t="s">
        <v>153</v>
      </c>
      <c r="B61" s="60"/>
      <c r="C61" s="60"/>
      <c r="D61" s="60"/>
      <c r="E61" s="60"/>
      <c r="F61" s="60"/>
    </row>
    <row r="62" spans="1:6" ht="24" customHeight="1">
      <c r="A62" s="45"/>
      <c r="B62" s="45" t="s">
        <v>154</v>
      </c>
      <c r="C62" s="45" t="s">
        <v>155</v>
      </c>
      <c r="D62" s="45" t="s">
        <v>156</v>
      </c>
      <c r="E62" s="45" t="s">
        <v>157</v>
      </c>
      <c r="F62" s="45"/>
    </row>
    <row r="63" spans="1:6" ht="36" customHeight="1">
      <c r="A63" s="15"/>
      <c r="B63" s="46" t="s">
        <v>158</v>
      </c>
      <c r="C63" s="47" t="s">
        <v>159</v>
      </c>
      <c r="D63" s="48" t="s">
        <v>160</v>
      </c>
      <c r="E63" s="49" t="s">
        <v>161</v>
      </c>
      <c r="F63" s="15"/>
    </row>
    <row r="64" spans="1:6" ht="36" customHeight="1">
      <c r="A64" s="50"/>
      <c r="B64" s="51" t="s">
        <v>162</v>
      </c>
      <c r="C64" s="52" t="s">
        <v>163</v>
      </c>
      <c r="D64" s="53" t="s">
        <v>164</v>
      </c>
      <c r="E64" s="54" t="s">
        <v>165</v>
      </c>
      <c r="F64" s="50"/>
    </row>
    <row r="65" spans="1:6" ht="36" customHeight="1">
      <c r="A65" s="15"/>
      <c r="B65" s="46" t="s">
        <v>166</v>
      </c>
      <c r="C65" s="47" t="s">
        <v>167</v>
      </c>
      <c r="D65" s="48" t="s">
        <v>168</v>
      </c>
      <c r="E65" s="49" t="s">
        <v>169</v>
      </c>
      <c r="F65" s="15"/>
    </row>
    <row r="66" spans="1:6" ht="36" customHeight="1">
      <c r="A66" s="50"/>
      <c r="B66" s="51" t="s">
        <v>170</v>
      </c>
      <c r="C66" s="52" t="s">
        <v>171</v>
      </c>
      <c r="D66" s="53" t="s">
        <v>172</v>
      </c>
      <c r="E66" s="54" t="s">
        <v>173</v>
      </c>
      <c r="F66" s="50"/>
    </row>
    <row r="67" spans="1:6" ht="36" customHeight="1">
      <c r="A67" s="15"/>
      <c r="B67" s="46" t="s">
        <v>174</v>
      </c>
      <c r="C67" s="47" t="s">
        <v>175</v>
      </c>
      <c r="D67" s="48" t="s">
        <v>176</v>
      </c>
      <c r="E67" s="49" t="s">
        <v>177</v>
      </c>
      <c r="F67" s="15"/>
    </row>
    <row r="68" spans="1:6" ht="36" customHeight="1">
      <c r="A68" s="50"/>
      <c r="B68" s="51" t="s">
        <v>178</v>
      </c>
      <c r="C68" s="52" t="s">
        <v>179</v>
      </c>
      <c r="D68" s="53" t="s">
        <v>180</v>
      </c>
      <c r="E68" s="54" t="s">
        <v>181</v>
      </c>
      <c r="F68" s="50"/>
    </row>
    <row r="69" spans="1:6" ht="36" customHeight="1">
      <c r="A69" s="15"/>
      <c r="B69" s="46" t="s">
        <v>182</v>
      </c>
      <c r="C69" s="47" t="s">
        <v>183</v>
      </c>
      <c r="D69" s="48" t="s">
        <v>184</v>
      </c>
      <c r="E69" s="49" t="s">
        <v>185</v>
      </c>
      <c r="F69" s="15"/>
    </row>
    <row r="70" spans="1:6" ht="36" customHeight="1">
      <c r="A70" s="50"/>
      <c r="B70" s="51" t="s">
        <v>186</v>
      </c>
      <c r="C70" s="52" t="s">
        <v>187</v>
      </c>
      <c r="D70" s="53" t="s">
        <v>188</v>
      </c>
      <c r="E70" s="54" t="s">
        <v>38</v>
      </c>
      <c r="F70" s="50"/>
    </row>
    <row r="71" spans="1:6"/>
  </sheetData>
  <mergeCells count="19">
    <mergeCell ref="A59:F59"/>
    <mergeCell ref="A61:F61"/>
    <mergeCell ref="A35:F35"/>
    <mergeCell ref="A40:F40"/>
    <mergeCell ref="A44:F44"/>
    <mergeCell ref="A49:F49"/>
    <mergeCell ref="A54:F54"/>
    <mergeCell ref="A6:F6"/>
    <mergeCell ref="A12:F12"/>
    <mergeCell ref="A18:F18"/>
    <mergeCell ref="A24:F24"/>
    <mergeCell ref="A29:F29"/>
    <mergeCell ref="A1:F1"/>
    <mergeCell ref="A2:B2"/>
    <mergeCell ref="C2:D2"/>
    <mergeCell ref="E2:F2"/>
    <mergeCell ref="A3:B3"/>
    <mergeCell ref="C3:D3"/>
    <mergeCell ref="E3:F3"/>
  </mergeCells>
  <conditionalFormatting sqref="F7:F57">
    <cfRule type="cellIs" dxfId="3" priority="2" operator="equal">
      <formula>"Concluído"</formula>
    </cfRule>
    <cfRule type="cellIs" dxfId="2" priority="3" operator="equal">
      <formula>"Não Atende"</formula>
    </cfRule>
    <cfRule type="cellIs" dxfId="1" priority="4" operator="equal">
      <formula>"Pendente"</formula>
    </cfRule>
    <cfRule type="cellIs" dxfId="0" priority="5" operator="equal">
      <formula>"N/A"</formula>
    </cfRule>
  </conditionalFormatting>
  <dataValidations count="1">
    <dataValidation type="list" allowBlank="1" showInputMessage="1" promptTitle="Status do item" prompt="Selecione o status" sqref="F7:F11 F13:F17 F19:F23 F25:F28 F30:F34 F36:F39 F41:F43 F45:F48 F50:F53 F55:F57" xr:uid="{00000000-0002-0000-0000-000000000000}">
      <formula1>"Concluído,Não Atende,Pendente,N/A"</formula1>
      <formula2>0</formula2>
    </dataValidation>
  </dataValidations>
  <hyperlinks>
    <hyperlink ref="E7" r:id="rId1" xr:uid="{00000000-0004-0000-0000-000000000000}"/>
    <hyperlink ref="E8" r:id="rId2" xr:uid="{00000000-0004-0000-0000-000001000000}"/>
    <hyperlink ref="E9" r:id="rId3" xr:uid="{00000000-0004-0000-0000-000002000000}"/>
    <hyperlink ref="E10" r:id="rId4" xr:uid="{00000000-0004-0000-0000-000003000000}"/>
    <hyperlink ref="E11" r:id="rId5" xr:uid="{00000000-0004-0000-0000-000004000000}"/>
    <hyperlink ref="E13" r:id="rId6" xr:uid="{00000000-0004-0000-0000-000005000000}"/>
    <hyperlink ref="E14" r:id="rId7" xr:uid="{00000000-0004-0000-0000-000006000000}"/>
    <hyperlink ref="E15" r:id="rId8" xr:uid="{00000000-0004-0000-0000-000007000000}"/>
    <hyperlink ref="E16" r:id="rId9" xr:uid="{00000000-0004-0000-0000-000008000000}"/>
    <hyperlink ref="E17" r:id="rId10" xr:uid="{00000000-0004-0000-0000-000009000000}"/>
    <hyperlink ref="E19" r:id="rId11" xr:uid="{00000000-0004-0000-0000-00000A000000}"/>
    <hyperlink ref="E20" r:id="rId12" xr:uid="{00000000-0004-0000-0000-00000B000000}"/>
    <hyperlink ref="E21" r:id="rId13" xr:uid="{00000000-0004-0000-0000-00000C000000}"/>
    <hyperlink ref="E22" r:id="rId14" xr:uid="{00000000-0004-0000-0000-00000D000000}"/>
    <hyperlink ref="E23" r:id="rId15" xr:uid="{00000000-0004-0000-0000-00000E000000}"/>
    <hyperlink ref="E25" r:id="rId16" xr:uid="{00000000-0004-0000-0000-00000F000000}"/>
    <hyperlink ref="E26" r:id="rId17" xr:uid="{00000000-0004-0000-0000-000010000000}"/>
    <hyperlink ref="E27" r:id="rId18" xr:uid="{00000000-0004-0000-0000-000011000000}"/>
    <hyperlink ref="E28" r:id="rId19" xr:uid="{00000000-0004-0000-0000-000012000000}"/>
    <hyperlink ref="E30" r:id="rId20" xr:uid="{00000000-0004-0000-0000-000013000000}"/>
    <hyperlink ref="E31" r:id="rId21" xr:uid="{00000000-0004-0000-0000-000014000000}"/>
    <hyperlink ref="E32" r:id="rId22" xr:uid="{00000000-0004-0000-0000-000015000000}"/>
    <hyperlink ref="E33" r:id="rId23" xr:uid="{00000000-0004-0000-0000-000016000000}"/>
    <hyperlink ref="E34" r:id="rId24" xr:uid="{00000000-0004-0000-0000-000017000000}"/>
    <hyperlink ref="E36" r:id="rId25" xr:uid="{00000000-0004-0000-0000-000018000000}"/>
    <hyperlink ref="E37" r:id="rId26" xr:uid="{00000000-0004-0000-0000-000019000000}"/>
    <hyperlink ref="E38" r:id="rId27" xr:uid="{00000000-0004-0000-0000-00001A000000}"/>
    <hyperlink ref="E39" r:id="rId28" xr:uid="{00000000-0004-0000-0000-00001B000000}"/>
    <hyperlink ref="E41" r:id="rId29" xr:uid="{00000000-0004-0000-0000-00001C000000}"/>
    <hyperlink ref="E42" r:id="rId30" xr:uid="{00000000-0004-0000-0000-00001D000000}"/>
    <hyperlink ref="E43" r:id="rId31" xr:uid="{00000000-0004-0000-0000-00001E000000}"/>
    <hyperlink ref="E45" r:id="rId32" xr:uid="{00000000-0004-0000-0000-00001F000000}"/>
    <hyperlink ref="E46" r:id="rId33" xr:uid="{00000000-0004-0000-0000-000020000000}"/>
    <hyperlink ref="E47" r:id="rId34" xr:uid="{00000000-0004-0000-0000-000021000000}"/>
    <hyperlink ref="E48" r:id="rId35" xr:uid="{00000000-0004-0000-0000-000022000000}"/>
    <hyperlink ref="E50" r:id="rId36" xr:uid="{00000000-0004-0000-0000-000023000000}"/>
    <hyperlink ref="E51" r:id="rId37" xr:uid="{00000000-0004-0000-0000-000024000000}"/>
    <hyperlink ref="E52" r:id="rId38" xr:uid="{00000000-0004-0000-0000-000025000000}"/>
    <hyperlink ref="E53" r:id="rId39" xr:uid="{00000000-0004-0000-0000-000026000000}"/>
    <hyperlink ref="E55" r:id="rId40" xr:uid="{00000000-0004-0000-0000-000027000000}"/>
    <hyperlink ref="E56" r:id="rId41" xr:uid="{00000000-0004-0000-0000-000028000000}"/>
    <hyperlink ref="E57" r:id="rId42" xr:uid="{00000000-0004-0000-0000-000029000000}"/>
    <hyperlink ref="E63" r:id="rId43" xr:uid="{00000000-0004-0000-0000-00002A000000}"/>
    <hyperlink ref="E64" r:id="rId44" xr:uid="{00000000-0004-0000-0000-00002B000000}"/>
    <hyperlink ref="E65" r:id="rId45" xr:uid="{00000000-0004-0000-0000-00002C000000}"/>
    <hyperlink ref="E66" r:id="rId46" xr:uid="{00000000-0004-0000-0000-00002D000000}"/>
    <hyperlink ref="E67" r:id="rId47" xr:uid="{00000000-0004-0000-0000-00002E000000}"/>
    <hyperlink ref="E68" r:id="rId48" xr:uid="{00000000-0004-0000-0000-00002F000000}"/>
    <hyperlink ref="E69" r:id="rId49" xr:uid="{00000000-0004-0000-0000-000030000000}"/>
    <hyperlink ref="E70" r:id="rId50" xr:uid="{00000000-0004-0000-0000-000031000000}"/>
  </hyperlink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zoomScaleNormal="100" workbookViewId="0">
      <selection activeCell="A8" sqref="A8"/>
    </sheetView>
  </sheetViews>
  <sheetFormatPr defaultColWidth="0" defaultRowHeight="15" zeroHeight="1"/>
  <cols>
    <col min="1" max="1" width="80" customWidth="1"/>
    <col min="2" max="16384" width="8.7109375" hidden="1"/>
  </cols>
  <sheetData>
    <row r="1" spans="1:1" ht="45" customHeight="1">
      <c r="A1" s="55" t="s">
        <v>189</v>
      </c>
    </row>
    <row r="2" spans="1:1"/>
    <row r="3" spans="1:1" ht="54.75" customHeight="1">
      <c r="A3" s="56" t="s">
        <v>190</v>
      </c>
    </row>
    <row r="4" spans="1:1" ht="54.75" customHeight="1">
      <c r="A4" s="57" t="s">
        <v>191</v>
      </c>
    </row>
    <row r="5" spans="1:1" ht="54.75" customHeight="1">
      <c r="A5" s="56" t="s">
        <v>192</v>
      </c>
    </row>
    <row r="6" spans="1:1" ht="54.75" customHeight="1">
      <c r="A6" s="57" t="s">
        <v>193</v>
      </c>
    </row>
    <row r="7" spans="1:1" ht="54.75" customHeight="1">
      <c r="A7" s="56" t="s">
        <v>195</v>
      </c>
    </row>
    <row r="8" spans="1:1" ht="54.75" customHeight="1">
      <c r="A8" s="57" t="s">
        <v>194</v>
      </c>
    </row>
    <row r="9" spans="1:1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 UX &amp; DataViz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Nayara Hellen</cp:lastModifiedBy>
  <cp:revision>0</cp:revision>
  <dcterms:created xsi:type="dcterms:W3CDTF">2026-02-06T14:34:22Z</dcterms:created>
  <dcterms:modified xsi:type="dcterms:W3CDTF">2026-02-06T16:02:32Z</dcterms:modified>
  <dc:language>en-US</dc:language>
</cp:coreProperties>
</file>